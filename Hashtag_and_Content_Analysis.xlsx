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apple-social-media-analytics project\"/>
    </mc:Choice>
  </mc:AlternateContent>
  <xr:revisionPtr revIDLastSave="0" documentId="13_ncr:1_{76EFB83A-FC58-4B79-9DB5-82855A16C8A9}" xr6:coauthVersionLast="47" xr6:coauthVersionMax="47" xr10:uidLastSave="{00000000-0000-0000-0000-000000000000}"/>
  <bookViews>
    <workbookView xWindow="-108" yWindow="-108" windowWidth="23256" windowHeight="12456" xr2:uid="{3216BD70-E524-4ADC-9B28-6FF2E03E0BD1}"/>
  </bookViews>
  <sheets>
    <sheet name="Task 4" sheetId="9" r:id="rId1"/>
    <sheet name="Posts" sheetId="1" r:id="rId2"/>
    <sheet name="Engagement Summary" sheetId="2" r:id="rId3"/>
    <sheet name="Campaign metadata" sheetId="3" r:id="rId4"/>
    <sheet name="Hashtag Analysis" sheetId="4" r:id="rId5"/>
    <sheet name="Frequently used hashtags" sheetId="5" r:id="rId6"/>
    <sheet name="Post performance by hashtags" sheetId="6" r:id="rId7"/>
    <sheet name="Content Performance" sheetId="8" r:id="rId8"/>
  </sheets>
  <externalReferences>
    <externalReference r:id="rId9"/>
  </externalReferences>
  <calcPr calcId="191029"/>
  <pivotCaches>
    <pivotCache cacheId="6" r:id="rId10"/>
    <pivotCache cacheId="7" r:id="rId11"/>
    <pivotCache cacheId="8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<sst xmlns="http://schemas.openxmlformats.org/spreadsheetml/2006/main" count="4121" uniqueCount="389">
  <si>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</si>
  <si>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</si>
  <si>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</si>
  <si>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</si>
  <si>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</si>
  <si>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</si>
  <si>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</si>
  <si>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</si>
  <si>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</si>
  <si>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</si>
  <si>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</si>
  <si>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</si>
  <si>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</si>
  <si>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</si>
  <si>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</si>
  <si>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#AppleWatchUltra2 #HealthTech</t>
  </si>
  <si>
    <t>Apple Watch Ultra 2 Launch</t>
  </si>
  <si>
    <t>A2</t>
  </si>
  <si>
    <t>LinkedIn</t>
  </si>
  <si>
    <t>#MacBookAirM3 #AppleInnovation</t>
  </si>
  <si>
    <t>Apple Event September 2025</t>
  </si>
  <si>
    <t>A3</t>
  </si>
  <si>
    <t>Instagram</t>
  </si>
  <si>
    <t>Tweet</t>
  </si>
  <si>
    <t>#AppleDesign #Innovation</t>
  </si>
  <si>
    <t>Sustainability Awareness Drive</t>
  </si>
  <si>
    <t>A4</t>
  </si>
  <si>
    <t>Video</t>
  </si>
  <si>
    <t>#AppleEvent #iPadPro</t>
  </si>
  <si>
    <t>iPhone 16 Launch</t>
  </si>
  <si>
    <t>A5</t>
  </si>
  <si>
    <t>A6</t>
  </si>
  <si>
    <t>#ShotOniPhone</t>
  </si>
  <si>
    <t>A7</t>
  </si>
  <si>
    <t>Carousel</t>
  </si>
  <si>
    <t>#AppleMusic #AppleLifestyle</t>
  </si>
  <si>
    <t>A8</t>
  </si>
  <si>
    <t>#AppleWatch #Health</t>
  </si>
  <si>
    <t>A9</t>
  </si>
  <si>
    <t>A10</t>
  </si>
  <si>
    <t>Twitter</t>
  </si>
  <si>
    <t>#iPhone16Launch #AppleEvent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</si>
  <si>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</si>
  <si>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</si>
  <si>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</si>
  <si>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</si>
  <si>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</si>
  <si>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</si>
  <si>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</si>
  <si>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</si>
  <si>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#AppleEvent #iPhone16</t>
  </si>
  <si>
    <t>A18</t>
  </si>
  <si>
    <t>A19</t>
  </si>
  <si>
    <t>A20</t>
  </si>
  <si>
    <t>A21</t>
  </si>
  <si>
    <t>#iPhonePhotography #ShotOniPhone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</si>
  <si>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</si>
  <si>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</si>
  <si>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</si>
  <si>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</si>
  <si>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</si>
  <si>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</si>
  <si>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</si>
  <si>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</si>
  <si>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</si>
  <si>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</si>
  <si>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</si>
  <si>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</si>
  <si>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</si>
  <si>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</si>
  <si>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</si>
  <si>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</si>
  <si>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</si>
  <si>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</si>
  <si>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</si>
  <si>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</si>
  <si>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</si>
  <si>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</si>
  <si>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</si>
  <si>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</si>
  <si>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</si>
  <si>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</si>
  <si>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</si>
  <si>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</si>
  <si>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</si>
  <si>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</si>
  <si>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</si>
  <si>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</si>
  <si>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</si>
  <si>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</si>
  <si>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</si>
  <si>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</si>
  <si>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</si>
  <si>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</si>
  <si>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</si>
  <si>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</si>
  <si>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</si>
  <si>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</si>
  <si>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</si>
  <si>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</si>
  <si>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</si>
  <si>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</si>
  <si>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</si>
  <si>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</si>
  <si>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</si>
  <si>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</si>
  <si>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</si>
  <si>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</si>
  <si>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</si>
  <si>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</si>
  <si>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</si>
  <si>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</si>
  <si>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</si>
  <si>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</si>
  <si>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</si>
  <si>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 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</si>
  <si>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</si>
  <si>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</si>
  <si>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</si>
  <si>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</si>
  <si>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</si>
  <si>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</si>
  <si>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</si>
  <si>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</si>
  <si>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</si>
  <si>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</si>
  <si>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</si>
  <si>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</si>
  <si>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</si>
  <si>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</si>
  <si>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</si>
  <si>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</si>
  <si>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</si>
  <si>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</si>
  <si>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</si>
  <si>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</si>
  <si>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</si>
  <si>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</si>
  <si>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</si>
  <si>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</si>
  <si>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</si>
  <si>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</si>
  <si>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</si>
  <si>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</si>
  <si>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</si>
  <si>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</si>
  <si>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</si>
  <si>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</si>
  <si>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</si>
  <si>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</si>
  <si>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</si>
  <si>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</si>
  <si>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</si>
  <si>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</si>
  <si>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</si>
  <si>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</si>
  <si>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</si>
  <si>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</si>
  <si>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</si>
  <si>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</si>
  <si>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</si>
  <si>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</si>
  <si>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</si>
  <si>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</si>
  <si>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</si>
  <si>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</si>
  <si>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</si>
  <si>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</si>
  <si>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</si>
  <si>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</si>
  <si>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</si>
  <si>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</si>
  <si>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</si>
  <si>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</si>
  <si>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</si>
  <si>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</si>
  <si>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</si>
  <si>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</si>
  <si>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</si>
  <si>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</si>
  <si>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</si>
  <si>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</si>
  <si>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</si>
  <si>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</si>
  <si>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</si>
  <si>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</si>
  <si>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</si>
  <si>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</si>
  <si>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</si>
  <si>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</si>
  <si>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</si>
  <si>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</si>
  <si>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</si>
  <si>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</si>
  <si>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</si>
  <si>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</si>
  <si>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</si>
  <si>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</si>
  <si>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</si>
  <si>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</si>
  <si>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</si>
  <si>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</si>
  <si>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</si>
  <si>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</si>
  <si>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</si>
  <si>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</si>
  <si>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</si>
  <si>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</si>
  <si>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</si>
  <si>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</si>
  <si>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</si>
  <si>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</si>
  <si>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</si>
  <si>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</si>
  <si>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</si>
  <si>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</si>
  <si>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</si>
  <si>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</si>
  <si>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</si>
  <si>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</si>
  <si>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</si>
  <si>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</si>
  <si>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</si>
  <si>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</si>
  <si>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</si>
  <si>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</si>
  <si>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</si>
  <si>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</si>
  <si>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</si>
  <si>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</si>
  <si>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</si>
  <si>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</si>
  <si>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</si>
  <si>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</si>
  <si>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</si>
  <si>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</si>
  <si>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</si>
  <si>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</si>
  <si>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</si>
  <si>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</si>
  <si>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</si>
  <si>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</si>
  <si>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</si>
  <si>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</si>
  <si>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</si>
  <si>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</si>
  <si>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</si>
  <si>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</si>
  <si>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</si>
  <si>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</si>
  <si>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</si>
  <si>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</si>
  <si>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</si>
  <si>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</si>
  <si>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</si>
  <si>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</si>
  <si>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</si>
  <si>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</si>
  <si>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</si>
  <si>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</si>
  <si>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</si>
  <si>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</si>
  <si>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</si>
  <si>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</si>
  <si>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</si>
  <si>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</si>
  <si>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</si>
  <si>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</si>
  <si>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</si>
  <si>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</si>
  <si>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</si>
  <si>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</si>
  <si>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</si>
  <si>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</si>
  <si>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</si>
  <si>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</si>
  <si>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</si>
  <si>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</si>
  <si>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</si>
  <si>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</si>
  <si>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</si>
  <si>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</si>
  <si>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</si>
  <si>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</si>
  <si>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</si>
  <si>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</si>
  <si>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</si>
  <si>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</si>
  <si>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</si>
  <si>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</si>
  <si>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</si>
  <si>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</si>
  <si>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</si>
  <si>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</si>
  <si>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</si>
  <si>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</si>
  <si>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</si>
  <si>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</si>
  <si>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</si>
  <si>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</si>
  <si>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</si>
  <si>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</si>
  <si>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</si>
  <si>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</si>
  <si>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</si>
  <si>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</si>
  <si>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</si>
  <si>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</si>
  <si>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</si>
  <si>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</si>
  <si>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</si>
  <si>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</si>
  <si>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</si>
  <si>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</si>
  <si>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</si>
  <si>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</si>
  <si>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</si>
  <si>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</si>
  <si>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</si>
  <si>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</si>
  <si>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</si>
  <si>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</si>
  <si>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</si>
  <si>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</si>
  <si>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</si>
  <si>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</si>
  <si>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</si>
  <si>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</si>
  <si>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</si>
  <si>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</si>
  <si>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</si>
  <si>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</si>
  <si>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</si>
  <si>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</si>
  <si>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</si>
  <si>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</si>
  <si>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</si>
  <si>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</si>
  <si>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</si>
  <si>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</si>
  <si>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</si>
  <si>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</si>
  <si>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</si>
  <si>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</si>
  <si>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</si>
  <si>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</si>
  <si>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</si>
  <si>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</si>
  <si>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</si>
  <si>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</si>
  <si>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</si>
  <si>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</si>
  <si>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</si>
  <si>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Hashtag1</t>
  </si>
  <si>
    <t>Hashtag2</t>
  </si>
  <si>
    <t>#AppleWatchUltra2</t>
  </si>
  <si>
    <t>#HealthTech</t>
  </si>
  <si>
    <t>#iPhonePhotography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</si>
  <si>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</si>
  <si>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</si>
  <si>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</si>
  <si>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</si>
  <si>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</si>
  <si>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</si>
  <si>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</si>
  <si>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</si>
  <si>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#iPhone16Launch</t>
  </si>
  <si>
    <t>#AppleWatch</t>
  </si>
  <si>
    <t>#Health</t>
  </si>
  <si>
    <t>#Sustainability</t>
  </si>
  <si>
    <t>#AppleEarth</t>
  </si>
  <si>
    <t>#iPhone16</t>
  </si>
  <si>
    <t>Row Labels</t>
  </si>
  <si>
    <t>Count of Hashtags</t>
  </si>
  <si>
    <t>#AppleEvent is the most frequently used hashtags.</t>
  </si>
  <si>
    <t>Followed by:</t>
  </si>
  <si>
    <t>Hashtag1 and Hashtag2 are arranged in a single column named Hashtags of another table.</t>
  </si>
  <si>
    <t>This is done to make the analysis easier</t>
  </si>
  <si>
    <t>Sum of Clicks</t>
  </si>
  <si>
    <t>#AppleEvent has highest number of clicks that shows it has highest engagement which means its performance is best as compared to other hashtags</t>
  </si>
  <si>
    <t>Column Labels</t>
  </si>
  <si>
    <t>Engagement Rate</t>
  </si>
  <si>
    <t>Average of Engagement Rate</t>
  </si>
  <si>
    <t xml:space="preserve">Image on Youtube and Twitter are performing better than others as they have more engagement rate than others </t>
  </si>
  <si>
    <t>Video on LinkedIn and Twitter has more engagement rate as compared to other platforms making them better performers there</t>
  </si>
  <si>
    <t>Tweet is performing better on LinkedIn by having highest engagement rate there as compared to other platforms</t>
  </si>
  <si>
    <t>Carousel is performing its best on Instagram and twitter with highest engament rate there</t>
  </si>
  <si>
    <t>INSIGHTS:</t>
  </si>
  <si>
    <r>
      <rPr>
        <b/>
        <sz val="11"/>
        <color theme="0"/>
        <rFont val="Calibri"/>
        <family val="2"/>
        <scheme val="minor"/>
      </rPr>
      <t>#AppleEvent</t>
    </r>
    <r>
      <rPr>
        <sz val="11"/>
        <color theme="0"/>
        <rFont val="Calibri"/>
        <family val="2"/>
        <scheme val="minor"/>
      </rPr>
      <t xml:space="preserve"> has highest number of clicks that shows it has highest engagement which means its performance is best as compared to other hashtags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</si>
</sst>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5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5" fillId="8" borderId="0" applyNumberFormat="0" applyBorder="0" applyAlignment="0" applyProtection="0"/>
  </cellStyleXfs>
  <cellXfs count="57">
    <xf numFmtId="0" fontId="0" fillId="0" borderId="0" xfId="0"/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4" fillId="0" borderId="0" xfId="0" applyFont="1"/>
    <xf numFmtId="1" fontId="4" fillId="0" borderId="3" xfId="0" applyNumberFormat="1" applyFont="1" applyBorder="1" applyAlignment="1">
      <alignment horizontal="center" vertical="top" wrapText="1"/>
    </xf>
    <xf numFmtId="0" fontId="0" fillId="0" borderId="4" xfId="0" applyBorder="1" applyAlignment="1">
      <alignment wrapText="1"/>
    </xf>
    <xf numFmtId="14" fontId="0" fillId="0" borderId="4" xfId="0" applyNumberFormat="1" applyBorder="1" applyAlignment="1">
      <alignment wrapText="1"/>
    </xf>
    <xf numFmtId="1" fontId="0" fillId="0" borderId="4" xfId="0" applyNumberFormat="1" applyBorder="1" applyAlignment="1">
      <alignment horizontal="right" wrapText="1"/>
    </xf>
    <xf numFmtId="14" fontId="0" fillId="0" borderId="4" xfId="0" applyNumberFormat="1" applyBorder="1" applyAlignment="1">
      <alignment horizontal="right" wrapText="1"/>
    </xf>
    <xf numFmtId="0" fontId="0" fillId="0" borderId="5" xfId="0" applyBorder="1" applyAlignment="1">
      <alignment wrapText="1"/>
    </xf>
    <xf numFmtId="14" fontId="0" fillId="0" borderId="5" xfId="0" applyNumberFormat="1" applyBorder="1" applyAlignment="1">
      <alignment horizontal="right" wrapText="1"/>
    </xf>
    <xf numFmtId="1" fontId="0" fillId="0" borderId="5" xfId="0" applyNumberFormat="1" applyBorder="1" applyAlignment="1">
      <alignment horizontal="right" wrapText="1"/>
    </xf>
    <xf numFmtId="1" fontId="0" fillId="0" borderId="0" xfId="0" applyNumberFormat="1"/>
    <xf numFmtId="2" fontId="4" fillId="0" borderId="2" xfId="0" applyNumberFormat="1" applyFont="1" applyBorder="1" applyAlignment="1">
      <alignment horizontal="center" vertical="top" wrapText="1"/>
    </xf>
    <xf numFmtId="164" fontId="4" fillId="0" borderId="8" xfId="0" applyNumberFormat="1" applyFont="1" applyBorder="1" applyAlignment="1">
      <alignment horizontal="center" vertical="center"/>
    </xf>
    <xf numFmtId="2" fontId="0" fillId="0" borderId="4" xfId="0" applyNumberFormat="1" applyBorder="1" applyAlignment="1">
      <alignment horizontal="right" wrapText="1"/>
    </xf>
    <xf numFmtId="164" fontId="0" fillId="0" borderId="9" xfId="0" applyNumberFormat="1" applyBorder="1" applyAlignment="1">
      <alignment horizontal="right" wrapText="1"/>
    </xf>
    <xf numFmtId="14" fontId="0" fillId="0" borderId="5" xfId="0" applyNumberFormat="1" applyBorder="1" applyAlignment="1">
      <alignment wrapText="1"/>
    </xf>
    <xf numFmtId="2" fontId="0" fillId="0" borderId="5" xfId="0" applyNumberFormat="1" applyBorder="1" applyAlignment="1">
      <alignment horizontal="right" wrapText="1"/>
    </xf>
    <xf numFmtId="164" fontId="0" fillId="0" borderId="10" xfId="0" applyNumberFormat="1" applyBorder="1" applyAlignment="1">
      <alignment horizontal="right" wrapText="1"/>
    </xf>
    <xf numFmtId="2" fontId="0" fillId="0" borderId="0" xfId="0" applyNumberFormat="1"/>
    <xf numFmtId="164" fontId="0" fillId="0" borderId="0" xfId="0" applyNumberFormat="1"/>
    <xf numFmtId="164" fontId="4" fillId="0" borderId="2" xfId="0" applyNumberFormat="1" applyFont="1" applyBorder="1" applyAlignment="1">
      <alignment horizontal="center" vertical="top" wrapText="1"/>
    </xf>
    <xf numFmtId="2" fontId="4" fillId="0" borderId="8" xfId="0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right" wrapText="1"/>
    </xf>
    <xf numFmtId="2" fontId="0" fillId="0" borderId="9" xfId="0" applyNumberFormat="1" applyBorder="1" applyAlignment="1">
      <alignment horizontal="right" wrapText="1"/>
    </xf>
    <xf numFmtId="164" fontId="0" fillId="0" borderId="5" xfId="0" applyNumberFormat="1" applyBorder="1" applyAlignment="1">
      <alignment horizontal="right" wrapText="1"/>
    </xf>
    <xf numFmtId="2" fontId="0" fillId="0" borderId="10" xfId="0" applyNumberFormat="1" applyBorder="1" applyAlignment="1">
      <alignment horizontal="right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5" fillId="3" borderId="11" xfId="2" applyBorder="1" applyAlignment="1">
      <alignment horizontal="left" vertical="center"/>
    </xf>
    <xf numFmtId="3" fontId="5" fillId="3" borderId="11" xfId="2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3" fontId="0" fillId="0" borderId="4" xfId="0" applyNumberForma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1" fillId="0" borderId="4" xfId="6" applyFill="1" applyBorder="1" applyAlignment="1">
      <alignment horizontal="left" vertical="center"/>
    </xf>
    <xf numFmtId="3" fontId="1" fillId="0" borderId="4" xfId="6" applyNumberFormat="1" applyFill="1" applyBorder="1" applyAlignment="1">
      <alignment horizontal="left" vertical="center"/>
    </xf>
    <xf numFmtId="0" fontId="1" fillId="0" borderId="4" xfId="6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6" applyFill="1" applyBorder="1" applyAlignment="1">
      <alignment horizontal="left" vertical="center"/>
    </xf>
    <xf numFmtId="0" fontId="1" fillId="0" borderId="0" xfId="6" applyFill="1" applyAlignment="1">
      <alignment horizontal="left"/>
    </xf>
    <xf numFmtId="0" fontId="0" fillId="0" borderId="0" xfId="0" pivotButton="1"/>
    <xf numFmtId="0" fontId="2" fillId="2" borderId="0" xfId="1"/>
    <xf numFmtId="0" fontId="0" fillId="0" borderId="0" xfId="0" applyAlignment="1">
      <alignment wrapText="1"/>
    </xf>
    <xf numFmtId="0" fontId="5" fillId="8" borderId="0" xfId="7" applyAlignment="1">
      <alignment wrapText="1"/>
    </xf>
    <xf numFmtId="1" fontId="4" fillId="0" borderId="12" xfId="0" applyNumberFormat="1" applyFont="1" applyBorder="1" applyAlignment="1">
      <alignment horizontal="center" vertical="top" wrapText="1"/>
    </xf>
    <xf numFmtId="165" fontId="0" fillId="0" borderId="13" xfId="0" applyNumberFormat="1" applyBorder="1" applyAlignment="1">
      <alignment horizontal="right"/>
    </xf>
    <xf numFmtId="165" fontId="0" fillId="0" borderId="14" xfId="0" applyNumberFormat="1" applyBorder="1" applyAlignment="1">
      <alignment horizontal="right"/>
    </xf>
    <xf numFmtId="165" fontId="0" fillId="0" borderId="4" xfId="0" applyNumberFormat="1" applyBorder="1" applyAlignment="1">
      <alignment horizontal="right"/>
    </xf>
    <xf numFmtId="165" fontId="0" fillId="0" borderId="0" xfId="0" applyNumberFormat="1"/>
    <xf numFmtId="0" fontId="1" fillId="6" borderId="0" xfId="5" applyAlignment="1">
      <alignment wrapText="1"/>
    </xf>
    <xf numFmtId="0" fontId="1" fillId="5" borderId="0" xfId="4" applyAlignment="1">
      <alignment wrapText="1"/>
    </xf>
    <xf numFmtId="0" fontId="7" fillId="0" borderId="0" xfId="0" applyFont="1"/>
    <xf numFmtId="0" fontId="6" fillId="4" borderId="0" xfId="3" applyFont="1" applyAlignment="1"/>
    <xf numFmtId="0" fontId="6" fillId="4" borderId="0" xfId="3" applyFont="1"/>
  </cellXfs>
  <cellStyles count="8">
    <cellStyle name="20% - Accent2" xfId="4" builtinId="34"/>
    <cellStyle name="20% - Accent3" xfId="6" builtinId="38"/>
    <cellStyle name="40% - Accent1" xfId="3" builtinId="31"/>
    <cellStyle name="60% - Accent2" xfId="5" builtinId="36"/>
    <cellStyle name="Accent1" xfId="2" builtinId="29"/>
    <cellStyle name="Accent5" xfId="7" builtinId="45"/>
    <cellStyle name="Good" xfId="1" builtinId="26"/>
    <cellStyle name="Normal" xfId="0" builtinId="0"/>
  </cellStyles>
  <dxfs count="56">
    <dxf>
      <numFmt numFmtId="165" formatCode="0.00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3" formatCode="#,##0"/>
      <alignment horizontal="left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3" formatCode="#,##0"/>
      <alignment horizontal="left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double">
          <color rgb="FF3F3F3F"/>
        </top>
      </border>
    </dxf>
    <dxf>
      <border outline="0">
        <bottom style="double">
          <color rgb="FF3F3F3F"/>
        </bottom>
      </border>
    </dxf>
    <dxf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64" formatCode="&quot;₹&quot;\ #,##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right style="medium">
          <color rgb="FFCCCCCC"/>
        </right>
        <top style="medium">
          <color rgb="FF000000"/>
        </top>
        <bottom style="medium">
          <color rgb="FFCCCCCC"/>
        </bottom>
      </border>
    </dxf>
    <dxf>
      <border outline="0">
        <bottom style="medium">
          <color rgb="FF000000"/>
        </bottom>
      </border>
    </dxf>
    <dxf>
      <numFmt numFmtId="164" formatCode="&quot;₹&quot;\ #,##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right style="medium">
          <color rgb="FFCCCCCC"/>
        </right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top" textRotation="0" wrapText="1" indent="0" justifyLastLine="0" shrinkToFit="0" readingOrder="0"/>
    </dxf>
    <dxf>
      <numFmt numFmtId="165" formatCode="0.0000"/>
      <alignment horizontal="right" vertical="bottom" textRotation="0" wrapText="0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bottom style="medium">
          <color rgb="FFCCCCCC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4.xlsx]Content Performance!PivotTable4</c:name>
    <c:fmtId val="4"/>
  </c:pivotSource>
  <c:chart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'Content Performance'!$B$3:$B$4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'Content Performance'!$A$5:$A$8</c:f>
              <c:strCache>
                <c:ptCount val="4"/>
                <c:pt idx="0">
                  <c:v>Carousel</c:v>
                </c:pt>
                <c:pt idx="1">
                  <c:v>Image</c:v>
                </c:pt>
                <c:pt idx="2">
                  <c:v>Tweet</c:v>
                </c:pt>
                <c:pt idx="3">
                  <c:v>Video</c:v>
                </c:pt>
              </c:strCache>
            </c:strRef>
          </c:cat>
          <c:val>
            <c:numRef>
              <c:f>'Content Performance'!$B$5:$B$8</c:f>
              <c:numCache>
                <c:formatCode>0.0000</c:formatCode>
                <c:ptCount val="4"/>
                <c:pt idx="0">
                  <c:v>0.12589042595917879</c:v>
                </c:pt>
                <c:pt idx="1">
                  <c:v>9.3879606627696899E-2</c:v>
                </c:pt>
                <c:pt idx="2">
                  <c:v>0.12535692827534972</c:v>
                </c:pt>
                <c:pt idx="3">
                  <c:v>0.13262168293640897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CD-4BF4-A743-B797A3C2524D}"/>
            </c:ext>
          </c:extLst>
        </c:ser>
        <c:ser>
          <c:idx val="1"/>
          <c:order val="1"/>
          <c:tx>
            <c:strRef>
              <c:f>'Content Performance'!$C$3:$C$4</c:f>
              <c:strCache>
                <c:ptCount val="1"/>
                <c:pt idx="0">
                  <c:v>LinkedIn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'Content Performance'!$A$5:$A$8</c:f>
              <c:strCache>
                <c:ptCount val="4"/>
                <c:pt idx="0">
                  <c:v>Carousel</c:v>
                </c:pt>
                <c:pt idx="1">
                  <c:v>Image</c:v>
                </c:pt>
                <c:pt idx="2">
                  <c:v>Tweet</c:v>
                </c:pt>
                <c:pt idx="3">
                  <c:v>Video</c:v>
                </c:pt>
              </c:strCache>
            </c:strRef>
          </c:cat>
          <c:val>
            <c:numRef>
              <c:f>'Content Performance'!$C$5:$C$8</c:f>
              <c:numCache>
                <c:formatCode>0.0000</c:formatCode>
                <c:ptCount val="4"/>
                <c:pt idx="0">
                  <c:v>0.10262745926963565</c:v>
                </c:pt>
                <c:pt idx="1">
                  <c:v>0.13089820229926677</c:v>
                </c:pt>
                <c:pt idx="2">
                  <c:v>0.14827499105978331</c:v>
                </c:pt>
                <c:pt idx="3">
                  <c:v>0.14967936592167658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CD-4BF4-A743-B797A3C2524D}"/>
            </c:ext>
          </c:extLst>
        </c:ser>
        <c:ser>
          <c:idx val="2"/>
          <c:order val="2"/>
          <c:tx>
            <c:strRef>
              <c:f>'Content Performance'!$D$3:$D$4</c:f>
              <c:strCache>
                <c:ptCount val="1"/>
                <c:pt idx="0">
                  <c:v>Twitter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'Content Performance'!$A$5:$A$8</c:f>
              <c:strCache>
                <c:ptCount val="4"/>
                <c:pt idx="0">
                  <c:v>Carousel</c:v>
                </c:pt>
                <c:pt idx="1">
                  <c:v>Image</c:v>
                </c:pt>
                <c:pt idx="2">
                  <c:v>Tweet</c:v>
                </c:pt>
                <c:pt idx="3">
                  <c:v>Video</c:v>
                </c:pt>
              </c:strCache>
            </c:strRef>
          </c:cat>
          <c:val>
            <c:numRef>
              <c:f>'Content Performance'!$D$5:$D$8</c:f>
              <c:numCache>
                <c:formatCode>0.0000</c:formatCode>
                <c:ptCount val="4"/>
                <c:pt idx="0">
                  <c:v>0.12870165132257488</c:v>
                </c:pt>
                <c:pt idx="1">
                  <c:v>0.15288959834365948</c:v>
                </c:pt>
                <c:pt idx="2">
                  <c:v>0.12144564622202569</c:v>
                </c:pt>
                <c:pt idx="3">
                  <c:v>0.14614995098562578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CD-4BF4-A743-B797A3C2524D}"/>
            </c:ext>
          </c:extLst>
        </c:ser>
        <c:ser>
          <c:idx val="3"/>
          <c:order val="3"/>
          <c:tx>
            <c:strRef>
              <c:f>'Content Performance'!$E$3:$E$4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'Content Performance'!$A$5:$A$8</c:f>
              <c:strCache>
                <c:ptCount val="4"/>
                <c:pt idx="0">
                  <c:v>Carousel</c:v>
                </c:pt>
                <c:pt idx="1">
                  <c:v>Image</c:v>
                </c:pt>
                <c:pt idx="2">
                  <c:v>Tweet</c:v>
                </c:pt>
                <c:pt idx="3">
                  <c:v>Video</c:v>
                </c:pt>
              </c:strCache>
            </c:strRef>
          </c:cat>
          <c:val>
            <c:numRef>
              <c:f>'Content Performance'!$E$5:$E$8</c:f>
              <c:numCache>
                <c:formatCode>0.0000</c:formatCode>
                <c:ptCount val="4"/>
                <c:pt idx="0">
                  <c:v>0.11881014499581921</c:v>
                </c:pt>
                <c:pt idx="1">
                  <c:v>0.15597957455532388</c:v>
                </c:pt>
                <c:pt idx="2">
                  <c:v>7.9242643875273147E-2</c:v>
                </c:pt>
                <c:pt idx="3">
                  <c:v>0.13163445681906671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CD-4BF4-A743-B797A3C25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506224"/>
        <c:axId val="452518224"/>
      </c:barChart>
      <c:catAx>
        <c:axId val="45250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18224"/>
        <c:crosses val="autoZero"/>
        <c:auto val="1"/>
        <c:lblAlgn val="ctr"/>
        <c:lblOffset val="100"/>
        <c:noMultiLvlLbl val="0"/>
      </c:catAx>
      <c:valAx>
        <c:axId val="45251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0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4.xlsx]Content Performance!PivotTable4</c:name>
    <c:fmtId val="1"/>
  </c:pivotSource>
  <c:chart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'Content Performance'!$B$3:$B$4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'Content Performance'!$A$5:$A$8</c:f>
              <c:strCache>
                <c:ptCount val="4"/>
                <c:pt idx="0">
                  <c:v>Carousel</c:v>
                </c:pt>
                <c:pt idx="1">
                  <c:v>Image</c:v>
                </c:pt>
                <c:pt idx="2">
                  <c:v>Tweet</c:v>
                </c:pt>
                <c:pt idx="3">
                  <c:v>Video</c:v>
                </c:pt>
              </c:strCache>
            </c:strRef>
          </c:cat>
          <c:val>
            <c:numRef>
              <c:f>'Content Performance'!$B$5:$B$8</c:f>
              <c:numCache>
                <c:formatCode>0.0000</c:formatCode>
                <c:ptCount val="4"/>
                <c:pt idx="0">
                  <c:v>0.12589042595917879</c:v>
                </c:pt>
                <c:pt idx="1">
                  <c:v>9.3879606627696899E-2</c:v>
                </c:pt>
                <c:pt idx="2">
                  <c:v>0.12535692827534972</c:v>
                </c:pt>
                <c:pt idx="3">
                  <c:v>0.13262168293640897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2-4541-AE86-EA89F44FE529}"/>
            </c:ext>
          </c:extLst>
        </c:ser>
        <c:ser>
          <c:idx val="1"/>
          <c:order val="1"/>
          <c:tx>
            <c:strRef>
              <c:f>'Content Performance'!$C$3:$C$4</c:f>
              <c:strCache>
                <c:ptCount val="1"/>
                <c:pt idx="0">
                  <c:v>LinkedIn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'Content Performance'!$A$5:$A$8</c:f>
              <c:strCache>
                <c:ptCount val="4"/>
                <c:pt idx="0">
                  <c:v>Carousel</c:v>
                </c:pt>
                <c:pt idx="1">
                  <c:v>Image</c:v>
                </c:pt>
                <c:pt idx="2">
                  <c:v>Tweet</c:v>
                </c:pt>
                <c:pt idx="3">
                  <c:v>Video</c:v>
                </c:pt>
              </c:strCache>
            </c:strRef>
          </c:cat>
          <c:val>
            <c:numRef>
              <c:f>'Content Performance'!$C$5:$C$8</c:f>
              <c:numCache>
                <c:formatCode>0.0000</c:formatCode>
                <c:ptCount val="4"/>
                <c:pt idx="0">
                  <c:v>0.10262745926963565</c:v>
                </c:pt>
                <c:pt idx="1">
                  <c:v>0.13089820229926677</c:v>
                </c:pt>
                <c:pt idx="2">
                  <c:v>0.14827499105978331</c:v>
                </c:pt>
                <c:pt idx="3">
                  <c:v>0.14967936592167658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02-4541-AE86-EA89F44FE529}"/>
            </c:ext>
          </c:extLst>
        </c:ser>
        <c:ser>
          <c:idx val="2"/>
          <c:order val="2"/>
          <c:tx>
            <c:strRef>
              <c:f>'Content Performance'!$D$3:$D$4</c:f>
              <c:strCache>
                <c:ptCount val="1"/>
                <c:pt idx="0">
                  <c:v>Twitter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'Content Performance'!$A$5:$A$8</c:f>
              <c:strCache>
                <c:ptCount val="4"/>
                <c:pt idx="0">
                  <c:v>Carousel</c:v>
                </c:pt>
                <c:pt idx="1">
                  <c:v>Image</c:v>
                </c:pt>
                <c:pt idx="2">
                  <c:v>Tweet</c:v>
                </c:pt>
                <c:pt idx="3">
                  <c:v>Video</c:v>
                </c:pt>
              </c:strCache>
            </c:strRef>
          </c:cat>
          <c:val>
            <c:numRef>
              <c:f>'Content Performance'!$D$5:$D$8</c:f>
              <c:numCache>
                <c:formatCode>0.0000</c:formatCode>
                <c:ptCount val="4"/>
                <c:pt idx="0">
                  <c:v>0.12870165132257488</c:v>
                </c:pt>
                <c:pt idx="1">
                  <c:v>0.15288959834365948</c:v>
                </c:pt>
                <c:pt idx="2">
                  <c:v>0.12144564622202569</c:v>
                </c:pt>
                <c:pt idx="3">
                  <c:v>0.14614995098562578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02-4541-AE86-EA89F44FE529}"/>
            </c:ext>
          </c:extLst>
        </c:ser>
        <c:ser>
          <c:idx val="3"/>
          <c:order val="3"/>
          <c:tx>
            <c:strRef>
              <c:f>'Content Performance'!$E$3:$E$4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'Content Performance'!$A$5:$A$8</c:f>
              <c:strCache>
                <c:ptCount val="4"/>
                <c:pt idx="0">
                  <c:v>Carousel</c:v>
                </c:pt>
                <c:pt idx="1">
                  <c:v>Image</c:v>
                </c:pt>
                <c:pt idx="2">
                  <c:v>Tweet</c:v>
                </c:pt>
                <c:pt idx="3">
                  <c:v>Video</c:v>
                </c:pt>
              </c:strCache>
            </c:strRef>
          </c:cat>
          <c:val>
            <c:numRef>
              <c:f>'Content Performance'!$E$5:$E$8</c:f>
              <c:numCache>
                <c:formatCode>0.0000</c:formatCode>
                <c:ptCount val="4"/>
                <c:pt idx="0">
                  <c:v>0.11881014499581921</c:v>
                </c:pt>
                <c:pt idx="1">
                  <c:v>0.15597957455532388</c:v>
                </c:pt>
                <c:pt idx="2">
                  <c:v>7.9242643875273147E-2</c:v>
                </c:pt>
                <c:pt idx="3">
                  <c:v>0.13163445681906671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02-4541-AE86-EA89F44FE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506224"/>
        <c:axId val="452518224"/>
      </c:barChart>
      <c:catAx>
        <c:axId val="45250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18224"/>
        <c:crosses val="autoZero"/>
        <c:auto val="1"/>
        <c:lblAlgn val="ctr"/>
        <c:lblOffset val="100"/>
        <c:noMultiLvlLbl val="0"/>
      </c:catAx>
      <c:valAx>
        <c:axId val="45251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0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</xdr:row>
      <xdr:rowOff>60960</xdr:rowOff>
    </xdr:from>
    <xdr:to>
      <xdr:col>6</xdr:col>
      <xdr:colOff>1158240</xdr:colOff>
      <xdr:row>17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4EAC7A-895F-4288-AF61-BA031BE99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167640</xdr:colOff>
      <xdr:row>2</xdr:row>
      <xdr:rowOff>7620</xdr:rowOff>
    </xdr:from>
    <xdr:to>
      <xdr:col>16</xdr:col>
      <xdr:colOff>289560</xdr:colOff>
      <xdr:row>13</xdr:row>
      <xdr:rowOff>289560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CEFB76-0876-A197-C4BC-E0323B2A6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esktop\apple-social-media-analytics%20project\Task%203.xlsx" TargetMode="External"/><Relationship Id="rId1" Type="http://schemas.openxmlformats.org/officeDocument/2006/relationships/externalLinkPath" Target="Task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sk 3"/>
      <sheetName val="Posts"/>
      <sheetName val="Engagement Summary"/>
      <sheetName val="Campaign metadata"/>
      <sheetName val="Platformwise engagement rate"/>
      <sheetName val="Platformwise Followers growth "/>
      <sheetName val="Ad Spend vs Engagement Rat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HANI" refreshedDate="46119.822069791669" createdVersion="8" refreshedVersion="8" minRefreshableVersion="3" recordCount="568" xr:uid="{9FDE0B13-2261-4401-B3C4-3AE4BC80440E}">
  <cacheSource type="worksheet">
    <worksheetSource ref="F1:H570" sheet="Hashtag Analysis"/>
  </cacheSource>
  <cacheFields count="3">
    <cacheField name="PostID" numFmtId="0">
      <sharedItems containsBlank="1"/>
    </cacheField>
    <cacheField name="Hashtags" numFmtId="0">
      <sharedItems containsBlank="1" count="20">
        <s v="#iPhonePhotography"/>
        <s v="#ShotOniPhone"/>
        <s v="#iPhone16Launch"/>
        <s v="#AppleEvent"/>
        <s v="#AppleMusic"/>
        <s v="#AppleLifestyle"/>
        <s v="#Sustainability"/>
        <s v="#AppleEarth"/>
        <s v="#iPhone16"/>
        <s v="#AppleDesign"/>
        <s v="#Innovation"/>
        <s v="#AppleWatch"/>
        <s v="#Health"/>
        <s v="#MacBookAirM3"/>
        <s v="#AppleInnovation"/>
        <s v="#iPadPro"/>
        <s v="#AppleWatchUltra2"/>
        <s v="#HealthTech"/>
        <s v="#MacBookProM3"/>
        <m/>
      </sharedItems>
    </cacheField>
    <cacheField name="Clicks" numFmtId="0">
      <sharedItems containsString="0" containsBlank="1" containsNumber="1" containsInteger="1" minValue="301" maxValue="29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HANI" refreshedDate="46119.832817476854" createdVersion="8" refreshedVersion="8" minRefreshableVersion="3" recordCount="568" xr:uid="{191C0A56-B7F4-4B79-903B-2D17370F9049}">
  <cacheSource type="worksheet">
    <worksheetSource ref="F1:H1048576" sheet="Hashtag Analysis"/>
  </cacheSource>
  <cacheFields count="3">
    <cacheField name="PostID" numFmtId="0">
      <sharedItems containsBlank="1"/>
    </cacheField>
    <cacheField name="Hashtags" numFmtId="0">
      <sharedItems containsBlank="1" count="20">
        <s v="#iPhonePhotography"/>
        <s v="#ShotOniPhone"/>
        <s v="#iPhone16Launch"/>
        <s v="#AppleEvent"/>
        <s v="#AppleMusic"/>
        <s v="#AppleLifestyle"/>
        <s v="#Sustainability"/>
        <s v="#AppleEarth"/>
        <s v="#iPhone16"/>
        <s v="#AppleDesign"/>
        <s v="#Innovation"/>
        <s v="#AppleWatch"/>
        <s v="#Health"/>
        <s v="#MacBookAirM3"/>
        <s v="#AppleInnovation"/>
        <s v="#iPadPro"/>
        <s v="#AppleWatchUltra2"/>
        <s v="#HealthTech"/>
        <s v="#MacBookProM3"/>
        <m/>
      </sharedItems>
    </cacheField>
    <cacheField name="Clicks" numFmtId="0">
      <sharedItems containsString="0" containsBlank="1" containsNumber="1" containsInteger="1" minValue="301" maxValue="29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HANI" refreshedDate="46119.8399125" createdVersion="8" refreshedVersion="8" minRefreshableVersion="3" recordCount="302" xr:uid="{EE0EA67A-DA27-4DE0-970E-052789F0E33D}">
  <cacheSource type="worksheet">
    <worksheetSource ref="A1:M1048576" sheet="Posts"/>
  </cacheSource>
  <cacheFields count="13">
    <cacheField name="PostID" numFmtId="0">
      <sharedItems containsBlank="1"/>
    </cacheField>
    <cacheField name="Platform" numFmtId="0">
      <sharedItems containsBlank="1" count="5">
        <s v="YouTube"/>
        <s v="LinkedIn"/>
        <s v="Instagram"/>
        <s v="Twitter"/>
        <m/>
      </sharedItems>
    </cacheField>
    <cacheField name="Date" numFmtId="0">
      <sharedItems containsNonDate="0" containsDate="1" containsString="0" containsBlank="1" minDate="2024-06-01T00:00:00" maxDate="2025-10-16T00:00:00"/>
    </cacheField>
    <cacheField name="ContentType" numFmtId="0">
      <sharedItems containsBlank="1" count="5">
        <s v="Image"/>
        <s v="Tweet"/>
        <s v="Video"/>
        <s v="Carousel"/>
        <m/>
      </sharedItems>
    </cacheField>
    <cacheField name="Hashtags" numFmtId="0">
      <sharedItems containsBlank="1"/>
    </cacheField>
    <cacheField name="Likes" numFmtId="1">
      <sharedItems containsString="0" containsBlank="1" containsNumber="1" containsInteger="1" minValue="2009" maxValue="24984"/>
    </cacheField>
    <cacheField name="Shares" numFmtId="1">
      <sharedItems containsString="0" containsBlank="1" containsNumber="1" containsInteger="1" minValue="203" maxValue="1487"/>
    </cacheField>
    <cacheField name="Comments" numFmtId="1">
      <sharedItems containsString="0" containsBlank="1" containsNumber="1" containsInteger="1" minValue="152" maxValue="999"/>
    </cacheField>
    <cacheField name="Clicks" numFmtId="1">
      <sharedItems containsString="0" containsBlank="1" containsNumber="1" containsInteger="1" minValue="301" maxValue="2936"/>
    </cacheField>
    <cacheField name="Reach" numFmtId="1">
      <sharedItems containsString="0" containsBlank="1" containsNumber="1" containsInteger="1" minValue="7" maxValue="97772"/>
    </cacheField>
    <cacheField name="Impressions" numFmtId="1">
      <sharedItems containsString="0" containsBlank="1" containsNumber="1" containsInteger="1" minValue="40281" maxValue="249988"/>
    </cacheField>
    <cacheField name="Campaign" numFmtId="0">
      <sharedItems containsBlank="1"/>
    </cacheField>
    <cacheField name="Engagement Rate" numFmtId="0">
      <sharedItems containsString="0" containsBlank="1" containsNumber="1" minValue="1.5064555174500706E-2" maxValue="0.587910124139245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8">
  <r>
    <s v="A215"/>
    <x v="0"/>
    <n v="2936"/>
  </r>
  <r>
    <s v="A215"/>
    <x v="1"/>
    <n v="2936"/>
  </r>
  <r>
    <s v="A200"/>
    <x v="0"/>
    <n v="2935"/>
  </r>
  <r>
    <s v="A200"/>
    <x v="1"/>
    <n v="2935"/>
  </r>
  <r>
    <s v="A30"/>
    <x v="0"/>
    <n v="2918"/>
  </r>
  <r>
    <s v="A30"/>
    <x v="1"/>
    <n v="2918"/>
  </r>
  <r>
    <s v="A33"/>
    <x v="2"/>
    <n v="2904"/>
  </r>
  <r>
    <s v="A33"/>
    <x v="3"/>
    <n v="2904"/>
  </r>
  <r>
    <s v="A45"/>
    <x v="4"/>
    <n v="2882"/>
  </r>
  <r>
    <s v="A45"/>
    <x v="5"/>
    <n v="2882"/>
  </r>
  <r>
    <s v="A294"/>
    <x v="0"/>
    <n v="2879"/>
  </r>
  <r>
    <s v="A294"/>
    <x v="1"/>
    <n v="2879"/>
  </r>
  <r>
    <s v="A89"/>
    <x v="6"/>
    <n v="2871"/>
  </r>
  <r>
    <s v="A89"/>
    <x v="7"/>
    <n v="2871"/>
  </r>
  <r>
    <s v="A173"/>
    <x v="3"/>
    <n v="2848"/>
  </r>
  <r>
    <s v="A173"/>
    <x v="8"/>
    <n v="2848"/>
  </r>
  <r>
    <s v="A143"/>
    <x v="9"/>
    <n v="2839"/>
  </r>
  <r>
    <s v="A143"/>
    <x v="10"/>
    <n v="2839"/>
  </r>
  <r>
    <s v="A69"/>
    <x v="11"/>
    <n v="2814"/>
  </r>
  <r>
    <s v="A69"/>
    <x v="12"/>
    <n v="2814"/>
  </r>
  <r>
    <s v="A105"/>
    <x v="2"/>
    <n v="2807"/>
  </r>
  <r>
    <s v="A105"/>
    <x v="3"/>
    <n v="2807"/>
  </r>
  <r>
    <s v="A110"/>
    <x v="11"/>
    <n v="2806"/>
  </r>
  <r>
    <s v="A110"/>
    <x v="12"/>
    <n v="2806"/>
  </r>
  <r>
    <s v="A165"/>
    <x v="11"/>
    <n v="2802"/>
  </r>
  <r>
    <s v="A165"/>
    <x v="12"/>
    <n v="2802"/>
  </r>
  <r>
    <s v="A147"/>
    <x v="2"/>
    <n v="2777"/>
  </r>
  <r>
    <s v="A147"/>
    <x v="3"/>
    <n v="2777"/>
  </r>
  <r>
    <s v="A38"/>
    <x v="13"/>
    <n v="2769"/>
  </r>
  <r>
    <s v="A38"/>
    <x v="14"/>
    <n v="2769"/>
  </r>
  <r>
    <s v="A299"/>
    <x v="0"/>
    <n v="2767"/>
  </r>
  <r>
    <s v="A299"/>
    <x v="1"/>
    <n v="2767"/>
  </r>
  <r>
    <s v="A70"/>
    <x v="2"/>
    <n v="2761"/>
  </r>
  <r>
    <s v="A70"/>
    <x v="3"/>
    <n v="2761"/>
  </r>
  <r>
    <s v="A91"/>
    <x v="4"/>
    <n v="2748"/>
  </r>
  <r>
    <s v="A199"/>
    <x v="11"/>
    <n v="2748"/>
  </r>
  <r>
    <s v="A91"/>
    <x v="5"/>
    <n v="2748"/>
  </r>
  <r>
    <s v="A199"/>
    <x v="12"/>
    <n v="2748"/>
  </r>
  <r>
    <s v="A117"/>
    <x v="3"/>
    <n v="2744"/>
  </r>
  <r>
    <s v="A117"/>
    <x v="8"/>
    <n v="2744"/>
  </r>
  <r>
    <s v="A156"/>
    <x v="4"/>
    <n v="2734"/>
  </r>
  <r>
    <s v="A156"/>
    <x v="5"/>
    <n v="2734"/>
  </r>
  <r>
    <s v="A175"/>
    <x v="3"/>
    <n v="2733"/>
  </r>
  <r>
    <s v="A175"/>
    <x v="8"/>
    <n v="2733"/>
  </r>
  <r>
    <s v="A245"/>
    <x v="3"/>
    <n v="2730"/>
  </r>
  <r>
    <s v="A245"/>
    <x v="15"/>
    <n v="2730"/>
  </r>
  <r>
    <s v="A104"/>
    <x v="9"/>
    <n v="2728"/>
  </r>
  <r>
    <s v="A104"/>
    <x v="10"/>
    <n v="2728"/>
  </r>
  <r>
    <s v="A65"/>
    <x v="16"/>
    <n v="2712"/>
  </r>
  <r>
    <s v="A65"/>
    <x v="17"/>
    <n v="2712"/>
  </r>
  <r>
    <s v="A47"/>
    <x v="2"/>
    <n v="2710"/>
  </r>
  <r>
    <s v="A47"/>
    <x v="3"/>
    <n v="2710"/>
  </r>
  <r>
    <s v="A50"/>
    <x v="4"/>
    <n v="2703"/>
  </r>
  <r>
    <s v="A50"/>
    <x v="5"/>
    <n v="2703"/>
  </r>
  <r>
    <s v="A29"/>
    <x v="18"/>
    <n v="2700"/>
  </r>
  <r>
    <s v="A16"/>
    <x v="11"/>
    <n v="2696"/>
  </r>
  <r>
    <s v="A16"/>
    <x v="12"/>
    <n v="2696"/>
  </r>
  <r>
    <s v="A27"/>
    <x v="2"/>
    <n v="2683"/>
  </r>
  <r>
    <s v="A27"/>
    <x v="3"/>
    <n v="2683"/>
  </r>
  <r>
    <s v="A77"/>
    <x v="2"/>
    <n v="2682"/>
  </r>
  <r>
    <s v="A77"/>
    <x v="3"/>
    <n v="2682"/>
  </r>
  <r>
    <s v="A1"/>
    <x v="16"/>
    <n v="2675"/>
  </r>
  <r>
    <s v="A1"/>
    <x v="17"/>
    <n v="2675"/>
  </r>
  <r>
    <s v="A267"/>
    <x v="3"/>
    <n v="2656"/>
  </r>
  <r>
    <s v="A267"/>
    <x v="8"/>
    <n v="2656"/>
  </r>
  <r>
    <s v="A96"/>
    <x v="11"/>
    <n v="2653"/>
  </r>
  <r>
    <s v="A96"/>
    <x v="12"/>
    <n v="2653"/>
  </r>
  <r>
    <s v="A128"/>
    <x v="0"/>
    <n v="2650"/>
  </r>
  <r>
    <s v="A128"/>
    <x v="1"/>
    <n v="2650"/>
  </r>
  <r>
    <s v="A269"/>
    <x v="18"/>
    <n v="2635"/>
  </r>
  <r>
    <s v="A212"/>
    <x v="16"/>
    <n v="2572"/>
  </r>
  <r>
    <s v="A212"/>
    <x v="17"/>
    <n v="2572"/>
  </r>
  <r>
    <s v="A14"/>
    <x v="11"/>
    <n v="2571"/>
  </r>
  <r>
    <s v="A14"/>
    <x v="12"/>
    <n v="2571"/>
  </r>
  <r>
    <s v="A234"/>
    <x v="4"/>
    <n v="2570"/>
  </r>
  <r>
    <s v="A234"/>
    <x v="5"/>
    <n v="2570"/>
  </r>
  <r>
    <s v="A95"/>
    <x v="3"/>
    <n v="2557"/>
  </r>
  <r>
    <s v="A95"/>
    <x v="15"/>
    <n v="2557"/>
  </r>
  <r>
    <s v="A144"/>
    <x v="0"/>
    <n v="2555"/>
  </r>
  <r>
    <s v="A144"/>
    <x v="1"/>
    <n v="2555"/>
  </r>
  <r>
    <s v="A164"/>
    <x v="13"/>
    <n v="2553"/>
  </r>
  <r>
    <s v="A164"/>
    <x v="14"/>
    <n v="2553"/>
  </r>
  <r>
    <s v="A155"/>
    <x v="16"/>
    <n v="2546"/>
  </r>
  <r>
    <s v="A155"/>
    <x v="17"/>
    <n v="2546"/>
  </r>
  <r>
    <s v="A218"/>
    <x v="18"/>
    <n v="2541"/>
  </r>
  <r>
    <s v="A87"/>
    <x v="2"/>
    <n v="2539"/>
  </r>
  <r>
    <s v="A87"/>
    <x v="3"/>
    <n v="2539"/>
  </r>
  <r>
    <s v="A120"/>
    <x v="3"/>
    <n v="2504"/>
  </r>
  <r>
    <s v="A120"/>
    <x v="15"/>
    <n v="2504"/>
  </r>
  <r>
    <s v="A296"/>
    <x v="6"/>
    <n v="2499"/>
  </r>
  <r>
    <s v="A296"/>
    <x v="7"/>
    <n v="2499"/>
  </r>
  <r>
    <s v="A41"/>
    <x v="13"/>
    <n v="2480"/>
  </r>
  <r>
    <s v="A41"/>
    <x v="14"/>
    <n v="2480"/>
  </r>
  <r>
    <s v="A221"/>
    <x v="4"/>
    <n v="2469"/>
  </r>
  <r>
    <s v="A263"/>
    <x v="1"/>
    <n v="2469"/>
  </r>
  <r>
    <s v="A221"/>
    <x v="5"/>
    <n v="2469"/>
  </r>
  <r>
    <s v="A216"/>
    <x v="16"/>
    <n v="2463"/>
  </r>
  <r>
    <s v="A216"/>
    <x v="17"/>
    <n v="2463"/>
  </r>
  <r>
    <s v="A17"/>
    <x v="3"/>
    <n v="2462"/>
  </r>
  <r>
    <s v="A17"/>
    <x v="8"/>
    <n v="2462"/>
  </r>
  <r>
    <s v="A280"/>
    <x v="4"/>
    <n v="2440"/>
  </r>
  <r>
    <s v="A280"/>
    <x v="5"/>
    <n v="2440"/>
  </r>
  <r>
    <s v="A205"/>
    <x v="3"/>
    <n v="2439"/>
  </r>
  <r>
    <s v="A28"/>
    <x v="1"/>
    <n v="2439"/>
  </r>
  <r>
    <s v="A205"/>
    <x v="8"/>
    <n v="2439"/>
  </r>
  <r>
    <s v="A259"/>
    <x v="13"/>
    <n v="2434"/>
  </r>
  <r>
    <s v="A259"/>
    <x v="14"/>
    <n v="2434"/>
  </r>
  <r>
    <s v="A49"/>
    <x v="3"/>
    <n v="2429"/>
  </r>
  <r>
    <s v="A49"/>
    <x v="8"/>
    <n v="2429"/>
  </r>
  <r>
    <s v="A109"/>
    <x v="11"/>
    <n v="2426"/>
  </r>
  <r>
    <s v="A109"/>
    <x v="12"/>
    <n v="2426"/>
  </r>
  <r>
    <s v="A21"/>
    <x v="0"/>
    <n v="2387"/>
  </r>
  <r>
    <s v="A21"/>
    <x v="1"/>
    <n v="2387"/>
  </r>
  <r>
    <s v="A79"/>
    <x v="6"/>
    <n v="2384"/>
  </r>
  <r>
    <s v="A79"/>
    <x v="7"/>
    <n v="2384"/>
  </r>
  <r>
    <s v="A290"/>
    <x v="1"/>
    <n v="2371"/>
  </r>
  <r>
    <s v="A61"/>
    <x v="18"/>
    <n v="2364"/>
  </r>
  <r>
    <s v="A189"/>
    <x v="1"/>
    <n v="2358"/>
  </r>
  <r>
    <s v="A233"/>
    <x v="16"/>
    <n v="2356"/>
  </r>
  <r>
    <s v="A233"/>
    <x v="17"/>
    <n v="2356"/>
  </r>
  <r>
    <s v="A246"/>
    <x v="2"/>
    <n v="2354"/>
  </r>
  <r>
    <s v="A40"/>
    <x v="11"/>
    <n v="2354"/>
  </r>
  <r>
    <s v="A246"/>
    <x v="3"/>
    <n v="2354"/>
  </r>
  <r>
    <s v="A40"/>
    <x v="12"/>
    <n v="2354"/>
  </r>
  <r>
    <s v="A192"/>
    <x v="11"/>
    <n v="2343"/>
  </r>
  <r>
    <s v="A210"/>
    <x v="2"/>
    <n v="2343"/>
  </r>
  <r>
    <s v="A192"/>
    <x v="12"/>
    <n v="2343"/>
  </r>
  <r>
    <s v="A210"/>
    <x v="3"/>
    <n v="2343"/>
  </r>
  <r>
    <s v="A154"/>
    <x v="2"/>
    <n v="2335"/>
  </r>
  <r>
    <s v="A154"/>
    <x v="3"/>
    <n v="2335"/>
  </r>
  <r>
    <s v="A182"/>
    <x v="9"/>
    <n v="2313"/>
  </r>
  <r>
    <s v="A182"/>
    <x v="10"/>
    <n v="2313"/>
  </r>
  <r>
    <s v="A52"/>
    <x v="11"/>
    <n v="2312"/>
  </r>
  <r>
    <s v="A52"/>
    <x v="12"/>
    <n v="2312"/>
  </r>
  <r>
    <s v="A112"/>
    <x v="13"/>
    <n v="2306"/>
  </r>
  <r>
    <s v="A112"/>
    <x v="14"/>
    <n v="2306"/>
  </r>
  <r>
    <s v="A116"/>
    <x v="11"/>
    <n v="2300"/>
  </r>
  <r>
    <s v="A116"/>
    <x v="12"/>
    <n v="2300"/>
  </r>
  <r>
    <s v="A22"/>
    <x v="4"/>
    <n v="2296"/>
  </r>
  <r>
    <s v="A22"/>
    <x v="5"/>
    <n v="2296"/>
  </r>
  <r>
    <s v="A228"/>
    <x v="9"/>
    <n v="2294"/>
  </r>
  <r>
    <s v="A228"/>
    <x v="10"/>
    <n v="2294"/>
  </r>
  <r>
    <s v="A271"/>
    <x v="9"/>
    <n v="2289"/>
  </r>
  <r>
    <s v="A271"/>
    <x v="10"/>
    <n v="2289"/>
  </r>
  <r>
    <s v="A230"/>
    <x v="1"/>
    <n v="2286"/>
  </r>
  <r>
    <s v="A55"/>
    <x v="16"/>
    <n v="2285"/>
  </r>
  <r>
    <s v="A55"/>
    <x v="17"/>
    <n v="2285"/>
  </r>
  <r>
    <s v="A281"/>
    <x v="3"/>
    <n v="2282"/>
  </r>
  <r>
    <s v="A281"/>
    <x v="8"/>
    <n v="2282"/>
  </r>
  <r>
    <s v="A137"/>
    <x v="3"/>
    <n v="2280"/>
  </r>
  <r>
    <s v="A137"/>
    <x v="15"/>
    <n v="2280"/>
  </r>
  <r>
    <s v="A288"/>
    <x v="11"/>
    <n v="2277"/>
  </r>
  <r>
    <s v="A288"/>
    <x v="12"/>
    <n v="2277"/>
  </r>
  <r>
    <s v="A132"/>
    <x v="13"/>
    <n v="2276"/>
  </r>
  <r>
    <s v="A132"/>
    <x v="14"/>
    <n v="2276"/>
  </r>
  <r>
    <s v="A159"/>
    <x v="4"/>
    <n v="2263"/>
  </r>
  <r>
    <s v="A159"/>
    <x v="5"/>
    <n v="2263"/>
  </r>
  <r>
    <s v="A208"/>
    <x v="13"/>
    <n v="2251"/>
  </r>
  <r>
    <s v="A208"/>
    <x v="14"/>
    <n v="2251"/>
  </r>
  <r>
    <s v="A214"/>
    <x v="9"/>
    <n v="2249"/>
  </r>
  <r>
    <s v="A214"/>
    <x v="10"/>
    <n v="2249"/>
  </r>
  <r>
    <s v="A266"/>
    <x v="2"/>
    <n v="2227"/>
  </r>
  <r>
    <s v="A266"/>
    <x v="3"/>
    <n v="2227"/>
  </r>
  <r>
    <s v="A232"/>
    <x v="11"/>
    <n v="2225"/>
  </r>
  <r>
    <s v="A232"/>
    <x v="12"/>
    <n v="2225"/>
  </r>
  <r>
    <s v="A227"/>
    <x v="13"/>
    <n v="2195"/>
  </r>
  <r>
    <s v="A227"/>
    <x v="14"/>
    <n v="2195"/>
  </r>
  <r>
    <s v="A20"/>
    <x v="9"/>
    <n v="2189"/>
  </r>
  <r>
    <s v="A20"/>
    <x v="10"/>
    <n v="2189"/>
  </r>
  <r>
    <s v="A83"/>
    <x v="1"/>
    <n v="2187"/>
  </r>
  <r>
    <s v="A240"/>
    <x v="4"/>
    <n v="2183"/>
  </r>
  <r>
    <s v="A240"/>
    <x v="5"/>
    <n v="2183"/>
  </r>
  <r>
    <s v="A167"/>
    <x v="3"/>
    <n v="2175"/>
  </r>
  <r>
    <s v="A167"/>
    <x v="8"/>
    <n v="2175"/>
  </r>
  <r>
    <s v="A138"/>
    <x v="9"/>
    <n v="2155"/>
  </r>
  <r>
    <s v="A138"/>
    <x v="10"/>
    <n v="2155"/>
  </r>
  <r>
    <s v="A122"/>
    <x v="0"/>
    <n v="2123"/>
  </r>
  <r>
    <s v="A122"/>
    <x v="1"/>
    <n v="2123"/>
  </r>
  <r>
    <s v="A141"/>
    <x v="2"/>
    <n v="2109"/>
  </r>
  <r>
    <s v="A141"/>
    <x v="3"/>
    <n v="2109"/>
  </r>
  <r>
    <s v="A23"/>
    <x v="3"/>
    <n v="2072"/>
  </r>
  <r>
    <s v="A23"/>
    <x v="8"/>
    <n v="2072"/>
  </r>
  <r>
    <s v="A213"/>
    <x v="2"/>
    <n v="2068"/>
  </r>
  <r>
    <s v="A213"/>
    <x v="3"/>
    <n v="2068"/>
  </r>
  <r>
    <s v="A168"/>
    <x v="13"/>
    <n v="2063"/>
  </r>
  <r>
    <s v="A168"/>
    <x v="14"/>
    <n v="2063"/>
  </r>
  <r>
    <s v="A286"/>
    <x v="11"/>
    <n v="2048"/>
  </r>
  <r>
    <s v="A286"/>
    <x v="12"/>
    <n v="2048"/>
  </r>
  <r>
    <s v="A276"/>
    <x v="3"/>
    <n v="2037"/>
  </r>
  <r>
    <s v="A276"/>
    <x v="15"/>
    <n v="2037"/>
  </r>
  <r>
    <s v="A34"/>
    <x v="9"/>
    <n v="2016"/>
  </r>
  <r>
    <s v="A34"/>
    <x v="10"/>
    <n v="2016"/>
  </r>
  <r>
    <s v="A239"/>
    <x v="13"/>
    <n v="2013"/>
  </r>
  <r>
    <s v="A239"/>
    <x v="14"/>
    <n v="2013"/>
  </r>
  <r>
    <s v="A297"/>
    <x v="18"/>
    <n v="2012"/>
  </r>
  <r>
    <s v="A8"/>
    <x v="11"/>
    <n v="2011"/>
  </r>
  <r>
    <s v="A8"/>
    <x v="12"/>
    <n v="2011"/>
  </r>
  <r>
    <s v="A123"/>
    <x v="3"/>
    <n v="2010"/>
  </r>
  <r>
    <s v="A123"/>
    <x v="8"/>
    <n v="2010"/>
  </r>
  <r>
    <s v="A220"/>
    <x v="13"/>
    <n v="2009"/>
  </r>
  <r>
    <s v="A153"/>
    <x v="13"/>
    <n v="2009"/>
  </r>
  <r>
    <s v="A220"/>
    <x v="14"/>
    <n v="2009"/>
  </r>
  <r>
    <s v="A153"/>
    <x v="14"/>
    <n v="2009"/>
  </r>
  <r>
    <s v="A31"/>
    <x v="3"/>
    <n v="2004"/>
  </r>
  <r>
    <s v="A31"/>
    <x v="15"/>
    <n v="2004"/>
  </r>
  <r>
    <s v="A170"/>
    <x v="0"/>
    <n v="2001"/>
  </r>
  <r>
    <s v="A170"/>
    <x v="1"/>
    <n v="2001"/>
  </r>
  <r>
    <s v="A201"/>
    <x v="1"/>
    <n v="1995"/>
  </r>
  <r>
    <s v="A58"/>
    <x v="9"/>
    <n v="1990"/>
  </r>
  <r>
    <s v="A58"/>
    <x v="10"/>
    <n v="1990"/>
  </r>
  <r>
    <s v="A131"/>
    <x v="2"/>
    <n v="1982"/>
  </r>
  <r>
    <s v="A131"/>
    <x v="3"/>
    <n v="1982"/>
  </r>
  <r>
    <s v="A149"/>
    <x v="16"/>
    <n v="1980"/>
  </r>
  <r>
    <s v="A149"/>
    <x v="17"/>
    <n v="1980"/>
  </r>
  <r>
    <s v="A4"/>
    <x v="3"/>
    <n v="1925"/>
  </r>
  <r>
    <s v="A4"/>
    <x v="15"/>
    <n v="1925"/>
  </r>
  <r>
    <s v="A145"/>
    <x v="13"/>
    <n v="1907"/>
  </r>
  <r>
    <s v="A145"/>
    <x v="14"/>
    <n v="1907"/>
  </r>
  <r>
    <s v="A19"/>
    <x v="3"/>
    <n v="1891"/>
  </r>
  <r>
    <s v="A19"/>
    <x v="8"/>
    <n v="1891"/>
  </r>
  <r>
    <s v="A198"/>
    <x v="3"/>
    <n v="1876"/>
  </r>
  <r>
    <s v="A198"/>
    <x v="15"/>
    <n v="1876"/>
  </r>
  <r>
    <s v="A48"/>
    <x v="16"/>
    <n v="1874"/>
  </r>
  <r>
    <s v="A48"/>
    <x v="17"/>
    <n v="1874"/>
  </r>
  <r>
    <s v="A188"/>
    <x v="6"/>
    <n v="1867"/>
  </r>
  <r>
    <s v="A188"/>
    <x v="7"/>
    <n v="1867"/>
  </r>
  <r>
    <s v="A125"/>
    <x v="16"/>
    <n v="1862"/>
  </r>
  <r>
    <s v="A125"/>
    <x v="17"/>
    <n v="1862"/>
  </r>
  <r>
    <s v="A260"/>
    <x v="13"/>
    <n v="1860"/>
  </r>
  <r>
    <s v="A260"/>
    <x v="14"/>
    <n v="1860"/>
  </r>
  <r>
    <s v="A161"/>
    <x v="9"/>
    <n v="1859"/>
  </r>
  <r>
    <s v="A161"/>
    <x v="10"/>
    <n v="1859"/>
  </r>
  <r>
    <s v="A57"/>
    <x v="3"/>
    <n v="1848"/>
  </r>
  <r>
    <s v="A57"/>
    <x v="8"/>
    <n v="1848"/>
  </r>
  <r>
    <s v="A53"/>
    <x v="3"/>
    <n v="1847"/>
  </r>
  <r>
    <s v="A53"/>
    <x v="8"/>
    <n v="1847"/>
  </r>
  <r>
    <s v="A134"/>
    <x v="1"/>
    <n v="1830"/>
  </r>
  <r>
    <s v="A113"/>
    <x v="0"/>
    <n v="1753"/>
  </r>
  <r>
    <s v="A113"/>
    <x v="1"/>
    <n v="1753"/>
  </r>
  <r>
    <s v="A235"/>
    <x v="3"/>
    <n v="1739"/>
  </r>
  <r>
    <s v="A235"/>
    <x v="15"/>
    <n v="1739"/>
  </r>
  <r>
    <s v="A75"/>
    <x v="9"/>
    <n v="1735"/>
  </r>
  <r>
    <s v="A75"/>
    <x v="10"/>
    <n v="1735"/>
  </r>
  <r>
    <s v="A194"/>
    <x v="4"/>
    <n v="1715"/>
  </r>
  <r>
    <s v="A194"/>
    <x v="5"/>
    <n v="1715"/>
  </r>
  <r>
    <s v="A133"/>
    <x v="16"/>
    <n v="1710"/>
  </r>
  <r>
    <s v="A133"/>
    <x v="17"/>
    <n v="1710"/>
  </r>
  <r>
    <s v="A185"/>
    <x v="13"/>
    <n v="1689"/>
  </r>
  <r>
    <s v="A185"/>
    <x v="14"/>
    <n v="1689"/>
  </r>
  <r>
    <s v="A293"/>
    <x v="3"/>
    <n v="1687"/>
  </r>
  <r>
    <s v="A293"/>
    <x v="8"/>
    <n v="1687"/>
  </r>
  <r>
    <s v="A176"/>
    <x v="9"/>
    <n v="1667"/>
  </r>
  <r>
    <s v="A176"/>
    <x v="10"/>
    <n v="1667"/>
  </r>
  <r>
    <s v="A285"/>
    <x v="16"/>
    <n v="1655"/>
  </r>
  <r>
    <s v="A285"/>
    <x v="17"/>
    <n v="1655"/>
  </r>
  <r>
    <s v="A68"/>
    <x v="13"/>
    <n v="1649"/>
  </r>
  <r>
    <s v="A68"/>
    <x v="14"/>
    <n v="1649"/>
  </r>
  <r>
    <s v="A18"/>
    <x v="11"/>
    <n v="1646"/>
  </r>
  <r>
    <s v="A18"/>
    <x v="12"/>
    <n v="1646"/>
  </r>
  <r>
    <s v="A183"/>
    <x v="11"/>
    <n v="1643"/>
  </r>
  <r>
    <s v="A183"/>
    <x v="12"/>
    <n v="1643"/>
  </r>
  <r>
    <s v="A242"/>
    <x v="4"/>
    <n v="1641"/>
  </r>
  <r>
    <s v="A242"/>
    <x v="5"/>
    <n v="1641"/>
  </r>
  <r>
    <s v="A203"/>
    <x v="11"/>
    <n v="1633"/>
  </r>
  <r>
    <s v="A203"/>
    <x v="12"/>
    <n v="1633"/>
  </r>
  <r>
    <s v="A226"/>
    <x v="11"/>
    <n v="1628"/>
  </r>
  <r>
    <s v="A226"/>
    <x v="12"/>
    <n v="1628"/>
  </r>
  <r>
    <s v="A13"/>
    <x v="4"/>
    <n v="1624"/>
  </r>
  <r>
    <s v="A190"/>
    <x v="4"/>
    <n v="1624"/>
  </r>
  <r>
    <s v="A261"/>
    <x v="16"/>
    <n v="1624"/>
  </r>
  <r>
    <s v="A13"/>
    <x v="5"/>
    <n v="1624"/>
  </r>
  <r>
    <s v="A190"/>
    <x v="5"/>
    <n v="1624"/>
  </r>
  <r>
    <s v="A261"/>
    <x v="17"/>
    <n v="1624"/>
  </r>
  <r>
    <s v="A24"/>
    <x v="2"/>
    <n v="1612"/>
  </r>
  <r>
    <s v="A24"/>
    <x v="3"/>
    <n v="1612"/>
  </r>
  <r>
    <s v="A142"/>
    <x v="9"/>
    <n v="1594"/>
  </r>
  <r>
    <s v="A142"/>
    <x v="10"/>
    <n v="1594"/>
  </r>
  <r>
    <s v="A238"/>
    <x v="2"/>
    <n v="1587"/>
  </r>
  <r>
    <s v="A238"/>
    <x v="3"/>
    <n v="1587"/>
  </r>
  <r>
    <s v="A25"/>
    <x v="11"/>
    <n v="1585"/>
  </r>
  <r>
    <s v="A25"/>
    <x v="12"/>
    <n v="1585"/>
  </r>
  <r>
    <s v="A2"/>
    <x v="13"/>
    <n v="1574"/>
  </r>
  <r>
    <s v="A2"/>
    <x v="14"/>
    <n v="1574"/>
  </r>
  <r>
    <s v="A300"/>
    <x v="2"/>
    <n v="1573"/>
  </r>
  <r>
    <s v="A300"/>
    <x v="3"/>
    <n v="1573"/>
  </r>
  <r>
    <s v="A262"/>
    <x v="0"/>
    <n v="1566"/>
  </r>
  <r>
    <s v="A262"/>
    <x v="1"/>
    <n v="1566"/>
  </r>
  <r>
    <s v="A85"/>
    <x v="4"/>
    <n v="1565"/>
  </r>
  <r>
    <s v="A85"/>
    <x v="5"/>
    <n v="1565"/>
  </r>
  <r>
    <s v="A166"/>
    <x v="3"/>
    <n v="1559"/>
  </r>
  <r>
    <s v="A166"/>
    <x v="8"/>
    <n v="1559"/>
  </r>
  <r>
    <s v="A60"/>
    <x v="11"/>
    <n v="1556"/>
  </r>
  <r>
    <s v="A72"/>
    <x v="3"/>
    <n v="1556"/>
  </r>
  <r>
    <s v="A60"/>
    <x v="12"/>
    <n v="1556"/>
  </r>
  <r>
    <s v="A72"/>
    <x v="8"/>
    <n v="1556"/>
  </r>
  <r>
    <s v="A102"/>
    <x v="1"/>
    <n v="1550"/>
  </r>
  <r>
    <s v="A73"/>
    <x v="16"/>
    <n v="1547"/>
  </r>
  <r>
    <s v="A56"/>
    <x v="2"/>
    <n v="1547"/>
  </r>
  <r>
    <s v="A73"/>
    <x v="17"/>
    <n v="1547"/>
  </r>
  <r>
    <s v="A56"/>
    <x v="3"/>
    <n v="1547"/>
  </r>
  <r>
    <s v="A78"/>
    <x v="4"/>
    <n v="1545"/>
  </r>
  <r>
    <s v="A78"/>
    <x v="5"/>
    <n v="1545"/>
  </r>
  <r>
    <s v="A282"/>
    <x v="3"/>
    <n v="1530"/>
  </r>
  <r>
    <s v="A282"/>
    <x v="15"/>
    <n v="1530"/>
  </r>
  <r>
    <s v="A82"/>
    <x v="4"/>
    <n v="1519"/>
  </r>
  <r>
    <s v="A82"/>
    <x v="5"/>
    <n v="1519"/>
  </r>
  <r>
    <s v="A3"/>
    <x v="9"/>
    <n v="1499"/>
  </r>
  <r>
    <s v="A3"/>
    <x v="10"/>
    <n v="1499"/>
  </r>
  <r>
    <s v="A35"/>
    <x v="3"/>
    <n v="1493"/>
  </r>
  <r>
    <s v="A35"/>
    <x v="8"/>
    <n v="1493"/>
  </r>
  <r>
    <s v="A12"/>
    <x v="13"/>
    <n v="1437"/>
  </r>
  <r>
    <s v="A12"/>
    <x v="14"/>
    <n v="1437"/>
  </r>
  <r>
    <s v="A59"/>
    <x v="11"/>
    <n v="1436"/>
  </r>
  <r>
    <s v="A59"/>
    <x v="12"/>
    <n v="1436"/>
  </r>
  <r>
    <s v="A197"/>
    <x v="9"/>
    <n v="1411"/>
  </r>
  <r>
    <s v="A197"/>
    <x v="10"/>
    <n v="1411"/>
  </r>
  <r>
    <s v="A204"/>
    <x v="1"/>
    <n v="1409"/>
  </r>
  <r>
    <s v="A248"/>
    <x v="3"/>
    <n v="1407"/>
  </r>
  <r>
    <s v="A241"/>
    <x v="0"/>
    <n v="1407"/>
  </r>
  <r>
    <s v="A248"/>
    <x v="8"/>
    <n v="1407"/>
  </r>
  <r>
    <s v="A241"/>
    <x v="1"/>
    <n v="1407"/>
  </r>
  <r>
    <s v="A121"/>
    <x v="16"/>
    <n v="1398"/>
  </r>
  <r>
    <s v="A121"/>
    <x v="17"/>
    <n v="1398"/>
  </r>
  <r>
    <s v="A179"/>
    <x v="3"/>
    <n v="1387"/>
  </r>
  <r>
    <s v="A179"/>
    <x v="8"/>
    <n v="1387"/>
  </r>
  <r>
    <s v="A146"/>
    <x v="0"/>
    <n v="1383"/>
  </r>
  <r>
    <s v="A146"/>
    <x v="1"/>
    <n v="1383"/>
  </r>
  <r>
    <s v="A275"/>
    <x v="11"/>
    <n v="1382"/>
  </r>
  <r>
    <s v="A275"/>
    <x v="12"/>
    <n v="1382"/>
  </r>
  <r>
    <s v="A44"/>
    <x v="0"/>
    <n v="1354"/>
  </r>
  <r>
    <s v="A44"/>
    <x v="1"/>
    <n v="1354"/>
  </r>
  <r>
    <s v="A152"/>
    <x v="6"/>
    <n v="1350"/>
  </r>
  <r>
    <s v="A152"/>
    <x v="7"/>
    <n v="1350"/>
  </r>
  <r>
    <s v="A88"/>
    <x v="13"/>
    <n v="1340"/>
  </r>
  <r>
    <s v="A88"/>
    <x v="14"/>
    <n v="1340"/>
  </r>
  <r>
    <s v="A106"/>
    <x v="11"/>
    <n v="1330"/>
  </r>
  <r>
    <s v="A106"/>
    <x v="12"/>
    <n v="1330"/>
  </r>
  <r>
    <s v="A171"/>
    <x v="16"/>
    <n v="1316"/>
  </r>
  <r>
    <s v="A171"/>
    <x v="17"/>
    <n v="1316"/>
  </r>
  <r>
    <s v="A172"/>
    <x v="6"/>
    <n v="1313"/>
  </r>
  <r>
    <s v="A172"/>
    <x v="7"/>
    <n v="1313"/>
  </r>
  <r>
    <s v="A67"/>
    <x v="11"/>
    <n v="1307"/>
  </r>
  <r>
    <s v="A67"/>
    <x v="12"/>
    <n v="1307"/>
  </r>
  <r>
    <s v="A74"/>
    <x v="3"/>
    <n v="1293"/>
  </r>
  <r>
    <s v="A74"/>
    <x v="15"/>
    <n v="1293"/>
  </r>
  <r>
    <s v="A80"/>
    <x v="16"/>
    <n v="1288"/>
  </r>
  <r>
    <s v="A126"/>
    <x v="11"/>
    <n v="1288"/>
  </r>
  <r>
    <s v="A80"/>
    <x v="17"/>
    <n v="1288"/>
  </r>
  <r>
    <s v="A126"/>
    <x v="12"/>
    <n v="1288"/>
  </r>
  <r>
    <s v="A148"/>
    <x v="2"/>
    <n v="1284"/>
  </r>
  <r>
    <s v="A148"/>
    <x v="3"/>
    <n v="1284"/>
  </r>
  <r>
    <s v="A124"/>
    <x v="0"/>
    <n v="1273"/>
  </r>
  <r>
    <s v="A124"/>
    <x v="1"/>
    <n v="1273"/>
  </r>
  <r>
    <s v="A10"/>
    <x v="2"/>
    <n v="1272"/>
  </r>
  <r>
    <s v="A10"/>
    <x v="3"/>
    <n v="1272"/>
  </r>
  <r>
    <s v="A258"/>
    <x v="16"/>
    <n v="1270"/>
  </r>
  <r>
    <s v="A258"/>
    <x v="17"/>
    <n v="1270"/>
  </r>
  <r>
    <s v="A158"/>
    <x v="13"/>
    <n v="1259"/>
  </r>
  <r>
    <s v="A158"/>
    <x v="14"/>
    <n v="1259"/>
  </r>
  <r>
    <s v="A289"/>
    <x v="4"/>
    <n v="1256"/>
  </r>
  <r>
    <s v="A289"/>
    <x v="5"/>
    <n v="1256"/>
  </r>
  <r>
    <s v="A295"/>
    <x v="16"/>
    <n v="1255"/>
  </r>
  <r>
    <s v="A295"/>
    <x v="17"/>
    <n v="1255"/>
  </r>
  <r>
    <s v="A103"/>
    <x v="13"/>
    <n v="1247"/>
  </r>
  <r>
    <s v="A103"/>
    <x v="14"/>
    <n v="1247"/>
  </r>
  <r>
    <s v="A207"/>
    <x v="18"/>
    <n v="1235"/>
  </r>
  <r>
    <s v="A136"/>
    <x v="9"/>
    <n v="1233"/>
  </r>
  <r>
    <s v="A136"/>
    <x v="10"/>
    <n v="1233"/>
  </r>
  <r>
    <s v="A217"/>
    <x v="16"/>
    <n v="1217"/>
  </r>
  <r>
    <s v="A90"/>
    <x v="3"/>
    <n v="1217"/>
  </r>
  <r>
    <s v="A217"/>
    <x v="17"/>
    <n v="1217"/>
  </r>
  <r>
    <s v="A90"/>
    <x v="8"/>
    <n v="1217"/>
  </r>
  <r>
    <s v="A5"/>
    <x v="16"/>
    <n v="1213"/>
  </r>
  <r>
    <s v="A5"/>
    <x v="17"/>
    <n v="1213"/>
  </r>
  <r>
    <s v="A108"/>
    <x v="11"/>
    <n v="1206"/>
  </r>
  <r>
    <s v="A108"/>
    <x v="12"/>
    <n v="1206"/>
  </r>
  <r>
    <s v="A284"/>
    <x v="4"/>
    <n v="1202"/>
  </r>
  <r>
    <s v="A284"/>
    <x v="5"/>
    <n v="1202"/>
  </r>
  <r>
    <s v="A250"/>
    <x v="11"/>
    <n v="1199"/>
  </r>
  <r>
    <s v="A250"/>
    <x v="12"/>
    <n v="1199"/>
  </r>
  <r>
    <s v="A253"/>
    <x v="18"/>
    <n v="1194"/>
  </r>
  <r>
    <s v="A119"/>
    <x v="6"/>
    <n v="1186"/>
  </r>
  <r>
    <s v="A224"/>
    <x v="6"/>
    <n v="1186"/>
  </r>
  <r>
    <s v="A119"/>
    <x v="7"/>
    <n v="1186"/>
  </r>
  <r>
    <s v="A224"/>
    <x v="7"/>
    <n v="1186"/>
  </r>
  <r>
    <s v="A92"/>
    <x v="13"/>
    <n v="1185"/>
  </r>
  <r>
    <s v="A92"/>
    <x v="14"/>
    <n v="1185"/>
  </r>
  <r>
    <s v="A256"/>
    <x v="4"/>
    <n v="1173"/>
  </r>
  <r>
    <s v="A256"/>
    <x v="5"/>
    <n v="1173"/>
  </r>
  <r>
    <s v="A129"/>
    <x v="3"/>
    <n v="1168"/>
  </r>
  <r>
    <s v="A129"/>
    <x v="15"/>
    <n v="1168"/>
  </r>
  <r>
    <s v="A43"/>
    <x v="18"/>
    <n v="1125"/>
  </r>
  <r>
    <s v="A255"/>
    <x v="6"/>
    <n v="1108"/>
  </r>
  <r>
    <s v="A255"/>
    <x v="7"/>
    <n v="1108"/>
  </r>
  <r>
    <s v="A9"/>
    <x v="13"/>
    <n v="1095"/>
  </r>
  <r>
    <s v="A9"/>
    <x v="14"/>
    <n v="1095"/>
  </r>
  <r>
    <s v="A139"/>
    <x v="3"/>
    <n v="1092"/>
  </r>
  <r>
    <s v="A139"/>
    <x v="8"/>
    <n v="1092"/>
  </r>
  <r>
    <s v="A140"/>
    <x v="4"/>
    <n v="1091"/>
  </r>
  <r>
    <s v="A140"/>
    <x v="5"/>
    <n v="1091"/>
  </r>
  <r>
    <s v="A195"/>
    <x v="2"/>
    <n v="1078"/>
  </r>
  <r>
    <s v="A195"/>
    <x v="3"/>
    <n v="1078"/>
  </r>
  <r>
    <s v="A101"/>
    <x v="13"/>
    <n v="1062"/>
  </r>
  <r>
    <s v="A101"/>
    <x v="14"/>
    <n v="1062"/>
  </r>
  <r>
    <s v="A277"/>
    <x v="18"/>
    <n v="1054"/>
  </r>
  <r>
    <s v="A264"/>
    <x v="0"/>
    <n v="1049"/>
  </r>
  <r>
    <s v="A264"/>
    <x v="1"/>
    <n v="1049"/>
  </r>
  <r>
    <s v="A114"/>
    <x v="9"/>
    <n v="1037"/>
  </r>
  <r>
    <s v="A114"/>
    <x v="10"/>
    <n v="1037"/>
  </r>
  <r>
    <s v="A86"/>
    <x v="2"/>
    <n v="1030"/>
  </r>
  <r>
    <s v="A86"/>
    <x v="3"/>
    <n v="1030"/>
  </r>
  <r>
    <s v="A191"/>
    <x v="0"/>
    <n v="1028"/>
  </r>
  <r>
    <s v="A191"/>
    <x v="1"/>
    <n v="1028"/>
  </r>
  <r>
    <s v="A100"/>
    <x v="1"/>
    <n v="1015"/>
  </r>
  <r>
    <s v="A237"/>
    <x v="9"/>
    <n v="1015"/>
  </r>
  <r>
    <s v="A237"/>
    <x v="10"/>
    <n v="1015"/>
  </r>
  <r>
    <s v="A206"/>
    <x v="3"/>
    <n v="1013"/>
  </r>
  <r>
    <s v="A206"/>
    <x v="8"/>
    <n v="1013"/>
  </r>
  <r>
    <s v="A97"/>
    <x v="6"/>
    <n v="1003"/>
  </r>
  <r>
    <s v="A97"/>
    <x v="7"/>
    <n v="1003"/>
  </r>
  <r>
    <s v="A39"/>
    <x v="4"/>
    <n v="999"/>
  </r>
  <r>
    <s v="A63"/>
    <x v="16"/>
    <n v="999"/>
  </r>
  <r>
    <s v="A39"/>
    <x v="5"/>
    <n v="999"/>
  </r>
  <r>
    <s v="A63"/>
    <x v="17"/>
    <n v="999"/>
  </r>
  <r>
    <s v="A268"/>
    <x v="18"/>
    <n v="994"/>
  </r>
  <r>
    <s v="A160"/>
    <x v="0"/>
    <n v="992"/>
  </r>
  <r>
    <s v="A160"/>
    <x v="1"/>
    <n v="992"/>
  </r>
  <r>
    <s v="A98"/>
    <x v="4"/>
    <n v="986"/>
  </r>
  <r>
    <s v="A98"/>
    <x v="5"/>
    <n v="986"/>
  </r>
  <r>
    <s v="A265"/>
    <x v="2"/>
    <n v="984"/>
  </r>
  <r>
    <s v="A265"/>
    <x v="3"/>
    <n v="984"/>
  </r>
  <r>
    <s v="A66"/>
    <x v="11"/>
    <n v="974"/>
  </r>
  <r>
    <s v="A66"/>
    <x v="12"/>
    <n v="974"/>
  </r>
  <r>
    <s v="A272"/>
    <x v="0"/>
    <n v="961"/>
  </r>
  <r>
    <s v="A272"/>
    <x v="1"/>
    <n v="961"/>
  </r>
  <r>
    <s v="A231"/>
    <x v="4"/>
    <n v="934"/>
  </r>
  <r>
    <s v="A231"/>
    <x v="5"/>
    <n v="934"/>
  </r>
  <r>
    <s v="A298"/>
    <x v="2"/>
    <n v="907"/>
  </r>
  <r>
    <s v="A298"/>
    <x v="3"/>
    <n v="907"/>
  </r>
  <r>
    <s v="A186"/>
    <x v="9"/>
    <n v="906"/>
  </r>
  <r>
    <s v="A186"/>
    <x v="10"/>
    <n v="906"/>
  </r>
  <r>
    <s v="A11"/>
    <x v="3"/>
    <n v="892"/>
  </r>
  <r>
    <s v="A11"/>
    <x v="15"/>
    <n v="892"/>
  </r>
  <r>
    <s v="A202"/>
    <x v="6"/>
    <n v="891"/>
  </r>
  <r>
    <s v="A202"/>
    <x v="7"/>
    <n v="891"/>
  </r>
  <r>
    <s v="A151"/>
    <x v="18"/>
    <n v="890"/>
  </r>
  <r>
    <s v="A51"/>
    <x v="11"/>
    <n v="888"/>
  </r>
  <r>
    <s v="A51"/>
    <x v="12"/>
    <n v="888"/>
  </r>
  <r>
    <s v="A71"/>
    <x v="3"/>
    <n v="885"/>
  </r>
  <r>
    <s v="A71"/>
    <x v="15"/>
    <n v="885"/>
  </r>
  <r>
    <s v="A177"/>
    <x v="0"/>
    <n v="883"/>
  </r>
  <r>
    <s v="A177"/>
    <x v="1"/>
    <n v="883"/>
  </r>
  <r>
    <s v="A76"/>
    <x v="1"/>
    <n v="871"/>
  </r>
  <r>
    <s v="A135"/>
    <x v="2"/>
    <n v="869"/>
  </r>
  <r>
    <s v="A111"/>
    <x v="1"/>
    <n v="869"/>
  </r>
  <r>
    <s v="A135"/>
    <x v="3"/>
    <n v="869"/>
  </r>
  <r>
    <s v="A42"/>
    <x v="3"/>
    <n v="856"/>
  </r>
  <r>
    <s v="A42"/>
    <x v="8"/>
    <n v="856"/>
  </r>
  <r>
    <s v="A236"/>
    <x v="0"/>
    <n v="852"/>
  </r>
  <r>
    <s v="A236"/>
    <x v="1"/>
    <n v="852"/>
  </r>
  <r>
    <s v="A273"/>
    <x v="6"/>
    <n v="848"/>
  </r>
  <r>
    <s v="A273"/>
    <x v="7"/>
    <n v="848"/>
  </r>
  <r>
    <s v="A163"/>
    <x v="16"/>
    <n v="826"/>
  </r>
  <r>
    <s v="A163"/>
    <x v="17"/>
    <n v="826"/>
  </r>
  <r>
    <s v="A169"/>
    <x v="4"/>
    <n v="820"/>
  </r>
  <r>
    <s v="A169"/>
    <x v="5"/>
    <n v="820"/>
  </r>
  <r>
    <s v="A150"/>
    <x v="0"/>
    <n v="819"/>
  </r>
  <r>
    <s v="A150"/>
    <x v="1"/>
    <n v="819"/>
  </r>
  <r>
    <s v="A115"/>
    <x v="16"/>
    <n v="815"/>
  </r>
  <r>
    <s v="A292"/>
    <x v="4"/>
    <n v="815"/>
  </r>
  <r>
    <s v="A115"/>
    <x v="17"/>
    <n v="815"/>
  </r>
  <r>
    <s v="A292"/>
    <x v="5"/>
    <n v="815"/>
  </r>
  <r>
    <s v="A254"/>
    <x v="3"/>
    <n v="814"/>
  </r>
  <r>
    <s v="A254"/>
    <x v="8"/>
    <n v="814"/>
  </r>
  <r>
    <s v="A84"/>
    <x v="13"/>
    <n v="783"/>
  </r>
  <r>
    <s v="A84"/>
    <x v="14"/>
    <n v="783"/>
  </r>
  <r>
    <s v="A94"/>
    <x v="2"/>
    <n v="773"/>
  </r>
  <r>
    <s v="A94"/>
    <x v="3"/>
    <n v="773"/>
  </r>
  <r>
    <s v="A247"/>
    <x v="18"/>
    <n v="758"/>
  </r>
  <r>
    <s v="A6"/>
    <x v="1"/>
    <n v="753"/>
  </r>
  <r>
    <s v="A64"/>
    <x v="1"/>
    <n v="747"/>
  </r>
  <r>
    <s v="A279"/>
    <x v="3"/>
    <n v="744"/>
  </r>
  <r>
    <s v="A279"/>
    <x v="15"/>
    <n v="744"/>
  </r>
  <r>
    <s v="A225"/>
    <x v="11"/>
    <n v="727"/>
  </r>
  <r>
    <s v="A225"/>
    <x v="12"/>
    <n v="727"/>
  </r>
  <r>
    <s v="A46"/>
    <x v="3"/>
    <n v="725"/>
  </r>
  <r>
    <s v="A46"/>
    <x v="8"/>
    <n v="725"/>
  </r>
  <r>
    <s v="A252"/>
    <x v="3"/>
    <n v="709"/>
  </r>
  <r>
    <s v="A252"/>
    <x v="8"/>
    <n v="709"/>
  </r>
  <r>
    <s v="A291"/>
    <x v="4"/>
    <n v="703"/>
  </r>
  <r>
    <s v="A291"/>
    <x v="5"/>
    <n v="703"/>
  </r>
  <r>
    <s v="A178"/>
    <x v="9"/>
    <n v="694"/>
  </r>
  <r>
    <s v="A178"/>
    <x v="10"/>
    <n v="694"/>
  </r>
  <r>
    <s v="A162"/>
    <x v="4"/>
    <n v="677"/>
  </r>
  <r>
    <s v="A162"/>
    <x v="5"/>
    <n v="677"/>
  </r>
  <r>
    <s v="A32"/>
    <x v="3"/>
    <n v="662"/>
  </r>
  <r>
    <s v="A32"/>
    <x v="8"/>
    <n v="662"/>
  </r>
  <r>
    <s v="A62"/>
    <x v="3"/>
    <n v="659"/>
  </r>
  <r>
    <s v="A62"/>
    <x v="8"/>
    <n v="659"/>
  </r>
  <r>
    <s v="A36"/>
    <x v="18"/>
    <n v="655"/>
  </r>
  <r>
    <s v="A283"/>
    <x v="11"/>
    <n v="652"/>
  </r>
  <r>
    <s v="A283"/>
    <x v="12"/>
    <n v="652"/>
  </r>
  <r>
    <s v="A157"/>
    <x v="0"/>
    <n v="648"/>
  </r>
  <r>
    <s v="A157"/>
    <x v="1"/>
    <n v="648"/>
  </r>
  <r>
    <s v="A184"/>
    <x v="3"/>
    <n v="637"/>
  </r>
  <r>
    <s v="A184"/>
    <x v="8"/>
    <n v="637"/>
  </r>
  <r>
    <s v="A15"/>
    <x v="9"/>
    <n v="617"/>
  </r>
  <r>
    <s v="A15"/>
    <x v="10"/>
    <n v="617"/>
  </r>
  <r>
    <s v="A229"/>
    <x v="13"/>
    <n v="616"/>
  </r>
  <r>
    <s v="A229"/>
    <x v="14"/>
    <n v="616"/>
  </r>
  <r>
    <s v="A274"/>
    <x v="4"/>
    <n v="611"/>
  </r>
  <r>
    <s v="A274"/>
    <x v="5"/>
    <n v="611"/>
  </r>
  <r>
    <s v="A270"/>
    <x v="13"/>
    <n v="606"/>
  </r>
  <r>
    <s v="A270"/>
    <x v="14"/>
    <n v="606"/>
  </r>
  <r>
    <s v="A54"/>
    <x v="9"/>
    <n v="594"/>
  </r>
  <r>
    <s v="A54"/>
    <x v="10"/>
    <n v="594"/>
  </r>
  <r>
    <s v="A99"/>
    <x v="4"/>
    <n v="584"/>
  </r>
  <r>
    <s v="A99"/>
    <x v="5"/>
    <n v="584"/>
  </r>
  <r>
    <s v="A81"/>
    <x v="3"/>
    <n v="577"/>
  </r>
  <r>
    <s v="A81"/>
    <x v="15"/>
    <n v="577"/>
  </r>
  <r>
    <s v="A181"/>
    <x v="11"/>
    <n v="573"/>
  </r>
  <r>
    <s v="A181"/>
    <x v="12"/>
    <n v="573"/>
  </r>
  <r>
    <s v="A244"/>
    <x v="0"/>
    <n v="550"/>
  </r>
  <r>
    <s v="A244"/>
    <x v="1"/>
    <n v="550"/>
  </r>
  <r>
    <s v="A209"/>
    <x v="3"/>
    <n v="541"/>
  </r>
  <r>
    <s v="A209"/>
    <x v="15"/>
    <n v="541"/>
  </r>
  <r>
    <s v="A26"/>
    <x v="11"/>
    <n v="515"/>
  </r>
  <r>
    <s v="A26"/>
    <x v="12"/>
    <n v="515"/>
  </r>
  <r>
    <s v="A196"/>
    <x v="18"/>
    <n v="513"/>
  </r>
  <r>
    <s v="A249"/>
    <x v="18"/>
    <n v="507"/>
  </r>
  <r>
    <s v="A37"/>
    <x v="9"/>
    <n v="490"/>
  </r>
  <r>
    <s v="A37"/>
    <x v="10"/>
    <n v="490"/>
  </r>
  <r>
    <s v="A187"/>
    <x v="6"/>
    <n v="465"/>
  </r>
  <r>
    <s v="A187"/>
    <x v="7"/>
    <n v="465"/>
  </r>
  <r>
    <s v="A287"/>
    <x v="3"/>
    <n v="458"/>
  </r>
  <r>
    <s v="A287"/>
    <x v="15"/>
    <n v="458"/>
  </r>
  <r>
    <s v="A222"/>
    <x v="18"/>
    <n v="442"/>
  </r>
  <r>
    <s v="A174"/>
    <x v="16"/>
    <n v="416"/>
  </r>
  <r>
    <s v="A174"/>
    <x v="17"/>
    <n v="416"/>
  </r>
  <r>
    <s v="A243"/>
    <x v="2"/>
    <n v="410"/>
  </r>
  <r>
    <s v="A243"/>
    <x v="3"/>
    <n v="410"/>
  </r>
  <r>
    <s v="A223"/>
    <x v="9"/>
    <n v="405"/>
  </r>
  <r>
    <s v="A223"/>
    <x v="10"/>
    <n v="405"/>
  </r>
  <r>
    <s v="A193"/>
    <x v="11"/>
    <n v="401"/>
  </r>
  <r>
    <s v="A193"/>
    <x v="12"/>
    <n v="401"/>
  </r>
  <r>
    <s v="A219"/>
    <x v="4"/>
    <n v="389"/>
  </r>
  <r>
    <s v="A219"/>
    <x v="5"/>
    <n v="389"/>
  </r>
  <r>
    <s v="A130"/>
    <x v="13"/>
    <n v="383"/>
  </r>
  <r>
    <s v="A130"/>
    <x v="14"/>
    <n v="383"/>
  </r>
  <r>
    <s v="A180"/>
    <x v="11"/>
    <n v="371"/>
  </r>
  <r>
    <s v="A180"/>
    <x v="12"/>
    <n v="371"/>
  </r>
  <r>
    <s v="A118"/>
    <x v="1"/>
    <n v="338"/>
  </r>
  <r>
    <s v="A7"/>
    <x v="4"/>
    <n v="336"/>
  </r>
  <r>
    <s v="A7"/>
    <x v="5"/>
    <n v="336"/>
  </r>
  <r>
    <s v="A278"/>
    <x v="4"/>
    <n v="334"/>
  </r>
  <r>
    <s v="A278"/>
    <x v="5"/>
    <n v="334"/>
  </r>
  <r>
    <s v="A107"/>
    <x v="3"/>
    <n v="328"/>
  </r>
  <r>
    <s v="A107"/>
    <x v="15"/>
    <n v="328"/>
  </r>
  <r>
    <s v="A251"/>
    <x v="4"/>
    <n v="321"/>
  </r>
  <r>
    <s v="A93"/>
    <x v="2"/>
    <n v="321"/>
  </r>
  <r>
    <s v="A251"/>
    <x v="5"/>
    <n v="321"/>
  </r>
  <r>
    <s v="A93"/>
    <x v="3"/>
    <n v="321"/>
  </r>
  <r>
    <s v="A127"/>
    <x v="3"/>
    <n v="320"/>
  </r>
  <r>
    <s v="A127"/>
    <x v="8"/>
    <n v="320"/>
  </r>
  <r>
    <s v="A257"/>
    <x v="3"/>
    <n v="313"/>
  </r>
  <r>
    <s v="A257"/>
    <x v="8"/>
    <n v="313"/>
  </r>
  <r>
    <s v="A211"/>
    <x v="18"/>
    <n v="301"/>
  </r>
  <r>
    <m/>
    <x v="1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8">
  <r>
    <s v="A215"/>
    <x v="0"/>
    <n v="2936"/>
  </r>
  <r>
    <s v="A215"/>
    <x v="1"/>
    <n v="2936"/>
  </r>
  <r>
    <s v="A200"/>
    <x v="0"/>
    <n v="2935"/>
  </r>
  <r>
    <s v="A200"/>
    <x v="1"/>
    <n v="2935"/>
  </r>
  <r>
    <s v="A30"/>
    <x v="0"/>
    <n v="2918"/>
  </r>
  <r>
    <s v="A30"/>
    <x v="1"/>
    <n v="2918"/>
  </r>
  <r>
    <s v="A33"/>
    <x v="2"/>
    <n v="2904"/>
  </r>
  <r>
    <s v="A33"/>
    <x v="3"/>
    <n v="2904"/>
  </r>
  <r>
    <s v="A45"/>
    <x v="4"/>
    <n v="2882"/>
  </r>
  <r>
    <s v="A45"/>
    <x v="5"/>
    <n v="2882"/>
  </r>
  <r>
    <s v="A294"/>
    <x v="0"/>
    <n v="2879"/>
  </r>
  <r>
    <s v="A294"/>
    <x v="1"/>
    <n v="2879"/>
  </r>
  <r>
    <s v="A89"/>
    <x v="6"/>
    <n v="2871"/>
  </r>
  <r>
    <s v="A89"/>
    <x v="7"/>
    <n v="2871"/>
  </r>
  <r>
    <s v="A173"/>
    <x v="3"/>
    <n v="2848"/>
  </r>
  <r>
    <s v="A173"/>
    <x v="8"/>
    <n v="2848"/>
  </r>
  <r>
    <s v="A143"/>
    <x v="9"/>
    <n v="2839"/>
  </r>
  <r>
    <s v="A143"/>
    <x v="10"/>
    <n v="2839"/>
  </r>
  <r>
    <s v="A69"/>
    <x v="11"/>
    <n v="2814"/>
  </r>
  <r>
    <s v="A69"/>
    <x v="12"/>
    <n v="2814"/>
  </r>
  <r>
    <s v="A105"/>
    <x v="2"/>
    <n v="2807"/>
  </r>
  <r>
    <s v="A105"/>
    <x v="3"/>
    <n v="2807"/>
  </r>
  <r>
    <s v="A110"/>
    <x v="11"/>
    <n v="2806"/>
  </r>
  <r>
    <s v="A110"/>
    <x v="12"/>
    <n v="2806"/>
  </r>
  <r>
    <s v="A165"/>
    <x v="11"/>
    <n v="2802"/>
  </r>
  <r>
    <s v="A165"/>
    <x v="12"/>
    <n v="2802"/>
  </r>
  <r>
    <s v="A147"/>
    <x v="2"/>
    <n v="2777"/>
  </r>
  <r>
    <s v="A147"/>
    <x v="3"/>
    <n v="2777"/>
  </r>
  <r>
    <s v="A38"/>
    <x v="13"/>
    <n v="2769"/>
  </r>
  <r>
    <s v="A38"/>
    <x v="14"/>
    <n v="2769"/>
  </r>
  <r>
    <s v="A299"/>
    <x v="0"/>
    <n v="2767"/>
  </r>
  <r>
    <s v="A299"/>
    <x v="1"/>
    <n v="2767"/>
  </r>
  <r>
    <s v="A70"/>
    <x v="2"/>
    <n v="2761"/>
  </r>
  <r>
    <s v="A70"/>
    <x v="3"/>
    <n v="2761"/>
  </r>
  <r>
    <s v="A91"/>
    <x v="4"/>
    <n v="2748"/>
  </r>
  <r>
    <s v="A199"/>
    <x v="11"/>
    <n v="2748"/>
  </r>
  <r>
    <s v="A91"/>
    <x v="5"/>
    <n v="2748"/>
  </r>
  <r>
    <s v="A199"/>
    <x v="12"/>
    <n v="2748"/>
  </r>
  <r>
    <s v="A117"/>
    <x v="3"/>
    <n v="2744"/>
  </r>
  <r>
    <s v="A117"/>
    <x v="8"/>
    <n v="2744"/>
  </r>
  <r>
    <s v="A156"/>
    <x v="4"/>
    <n v="2734"/>
  </r>
  <r>
    <s v="A156"/>
    <x v="5"/>
    <n v="2734"/>
  </r>
  <r>
    <s v="A175"/>
    <x v="3"/>
    <n v="2733"/>
  </r>
  <r>
    <s v="A175"/>
    <x v="8"/>
    <n v="2733"/>
  </r>
  <r>
    <s v="A245"/>
    <x v="3"/>
    <n v="2730"/>
  </r>
  <r>
    <s v="A245"/>
    <x v="15"/>
    <n v="2730"/>
  </r>
  <r>
    <s v="A104"/>
    <x v="9"/>
    <n v="2728"/>
  </r>
  <r>
    <s v="A104"/>
    <x v="10"/>
    <n v="2728"/>
  </r>
  <r>
    <s v="A65"/>
    <x v="16"/>
    <n v="2712"/>
  </r>
  <r>
    <s v="A65"/>
    <x v="17"/>
    <n v="2712"/>
  </r>
  <r>
    <s v="A47"/>
    <x v="2"/>
    <n v="2710"/>
  </r>
  <r>
    <s v="A47"/>
    <x v="3"/>
    <n v="2710"/>
  </r>
  <r>
    <s v="A50"/>
    <x v="4"/>
    <n v="2703"/>
  </r>
  <r>
    <s v="A50"/>
    <x v="5"/>
    <n v="2703"/>
  </r>
  <r>
    <s v="A29"/>
    <x v="18"/>
    <n v="2700"/>
  </r>
  <r>
    <s v="A16"/>
    <x v="11"/>
    <n v="2696"/>
  </r>
  <r>
    <s v="A16"/>
    <x v="12"/>
    <n v="2696"/>
  </r>
  <r>
    <s v="A27"/>
    <x v="2"/>
    <n v="2683"/>
  </r>
  <r>
    <s v="A27"/>
    <x v="3"/>
    <n v="2683"/>
  </r>
  <r>
    <s v="A77"/>
    <x v="2"/>
    <n v="2682"/>
  </r>
  <r>
    <s v="A77"/>
    <x v="3"/>
    <n v="2682"/>
  </r>
  <r>
    <s v="A1"/>
    <x v="16"/>
    <n v="2675"/>
  </r>
  <r>
    <s v="A1"/>
    <x v="17"/>
    <n v="2675"/>
  </r>
  <r>
    <s v="A267"/>
    <x v="3"/>
    <n v="2656"/>
  </r>
  <r>
    <s v="A267"/>
    <x v="8"/>
    <n v="2656"/>
  </r>
  <r>
    <s v="A96"/>
    <x v="11"/>
    <n v="2653"/>
  </r>
  <r>
    <s v="A96"/>
    <x v="12"/>
    <n v="2653"/>
  </r>
  <r>
    <s v="A128"/>
    <x v="0"/>
    <n v="2650"/>
  </r>
  <r>
    <s v="A128"/>
    <x v="1"/>
    <n v="2650"/>
  </r>
  <r>
    <s v="A269"/>
    <x v="18"/>
    <n v="2635"/>
  </r>
  <r>
    <s v="A212"/>
    <x v="16"/>
    <n v="2572"/>
  </r>
  <r>
    <s v="A212"/>
    <x v="17"/>
    <n v="2572"/>
  </r>
  <r>
    <s v="A14"/>
    <x v="11"/>
    <n v="2571"/>
  </r>
  <r>
    <s v="A14"/>
    <x v="12"/>
    <n v="2571"/>
  </r>
  <r>
    <s v="A234"/>
    <x v="4"/>
    <n v="2570"/>
  </r>
  <r>
    <s v="A234"/>
    <x v="5"/>
    <n v="2570"/>
  </r>
  <r>
    <s v="A95"/>
    <x v="3"/>
    <n v="2557"/>
  </r>
  <r>
    <s v="A95"/>
    <x v="15"/>
    <n v="2557"/>
  </r>
  <r>
    <s v="A144"/>
    <x v="0"/>
    <n v="2555"/>
  </r>
  <r>
    <s v="A144"/>
    <x v="1"/>
    <n v="2555"/>
  </r>
  <r>
    <s v="A164"/>
    <x v="13"/>
    <n v="2553"/>
  </r>
  <r>
    <s v="A164"/>
    <x v="14"/>
    <n v="2553"/>
  </r>
  <r>
    <s v="A155"/>
    <x v="16"/>
    <n v="2546"/>
  </r>
  <r>
    <s v="A155"/>
    <x v="17"/>
    <n v="2546"/>
  </r>
  <r>
    <s v="A218"/>
    <x v="18"/>
    <n v="2541"/>
  </r>
  <r>
    <s v="A87"/>
    <x v="2"/>
    <n v="2539"/>
  </r>
  <r>
    <s v="A87"/>
    <x v="3"/>
    <n v="2539"/>
  </r>
  <r>
    <s v="A120"/>
    <x v="3"/>
    <n v="2504"/>
  </r>
  <r>
    <s v="A120"/>
    <x v="15"/>
    <n v="2504"/>
  </r>
  <r>
    <s v="A296"/>
    <x v="6"/>
    <n v="2499"/>
  </r>
  <r>
    <s v="A296"/>
    <x v="7"/>
    <n v="2499"/>
  </r>
  <r>
    <s v="A41"/>
    <x v="13"/>
    <n v="2480"/>
  </r>
  <r>
    <s v="A41"/>
    <x v="14"/>
    <n v="2480"/>
  </r>
  <r>
    <s v="A221"/>
    <x v="4"/>
    <n v="2469"/>
  </r>
  <r>
    <s v="A263"/>
    <x v="1"/>
    <n v="2469"/>
  </r>
  <r>
    <s v="A221"/>
    <x v="5"/>
    <n v="2469"/>
  </r>
  <r>
    <s v="A216"/>
    <x v="16"/>
    <n v="2463"/>
  </r>
  <r>
    <s v="A216"/>
    <x v="17"/>
    <n v="2463"/>
  </r>
  <r>
    <s v="A17"/>
    <x v="3"/>
    <n v="2462"/>
  </r>
  <r>
    <s v="A17"/>
    <x v="8"/>
    <n v="2462"/>
  </r>
  <r>
    <s v="A280"/>
    <x v="4"/>
    <n v="2440"/>
  </r>
  <r>
    <s v="A280"/>
    <x v="5"/>
    <n v="2440"/>
  </r>
  <r>
    <s v="A205"/>
    <x v="3"/>
    <n v="2439"/>
  </r>
  <r>
    <s v="A28"/>
    <x v="1"/>
    <n v="2439"/>
  </r>
  <r>
    <s v="A205"/>
    <x v="8"/>
    <n v="2439"/>
  </r>
  <r>
    <s v="A259"/>
    <x v="13"/>
    <n v="2434"/>
  </r>
  <r>
    <s v="A259"/>
    <x v="14"/>
    <n v="2434"/>
  </r>
  <r>
    <s v="A49"/>
    <x v="3"/>
    <n v="2429"/>
  </r>
  <r>
    <s v="A49"/>
    <x v="8"/>
    <n v="2429"/>
  </r>
  <r>
    <s v="A109"/>
    <x v="11"/>
    <n v="2426"/>
  </r>
  <r>
    <s v="A109"/>
    <x v="12"/>
    <n v="2426"/>
  </r>
  <r>
    <s v="A21"/>
    <x v="0"/>
    <n v="2387"/>
  </r>
  <r>
    <s v="A21"/>
    <x v="1"/>
    <n v="2387"/>
  </r>
  <r>
    <s v="A79"/>
    <x v="6"/>
    <n v="2384"/>
  </r>
  <r>
    <s v="A79"/>
    <x v="7"/>
    <n v="2384"/>
  </r>
  <r>
    <s v="A290"/>
    <x v="1"/>
    <n v="2371"/>
  </r>
  <r>
    <s v="A61"/>
    <x v="18"/>
    <n v="2364"/>
  </r>
  <r>
    <s v="A189"/>
    <x v="1"/>
    <n v="2358"/>
  </r>
  <r>
    <s v="A233"/>
    <x v="16"/>
    <n v="2356"/>
  </r>
  <r>
    <s v="A233"/>
    <x v="17"/>
    <n v="2356"/>
  </r>
  <r>
    <s v="A246"/>
    <x v="2"/>
    <n v="2354"/>
  </r>
  <r>
    <s v="A40"/>
    <x v="11"/>
    <n v="2354"/>
  </r>
  <r>
    <s v="A246"/>
    <x v="3"/>
    <n v="2354"/>
  </r>
  <r>
    <s v="A40"/>
    <x v="12"/>
    <n v="2354"/>
  </r>
  <r>
    <s v="A192"/>
    <x v="11"/>
    <n v="2343"/>
  </r>
  <r>
    <s v="A210"/>
    <x v="2"/>
    <n v="2343"/>
  </r>
  <r>
    <s v="A192"/>
    <x v="12"/>
    <n v="2343"/>
  </r>
  <r>
    <s v="A210"/>
    <x v="3"/>
    <n v="2343"/>
  </r>
  <r>
    <s v="A154"/>
    <x v="2"/>
    <n v="2335"/>
  </r>
  <r>
    <s v="A154"/>
    <x v="3"/>
    <n v="2335"/>
  </r>
  <r>
    <s v="A182"/>
    <x v="9"/>
    <n v="2313"/>
  </r>
  <r>
    <s v="A182"/>
    <x v="10"/>
    <n v="2313"/>
  </r>
  <r>
    <s v="A52"/>
    <x v="11"/>
    <n v="2312"/>
  </r>
  <r>
    <s v="A52"/>
    <x v="12"/>
    <n v="2312"/>
  </r>
  <r>
    <s v="A112"/>
    <x v="13"/>
    <n v="2306"/>
  </r>
  <r>
    <s v="A112"/>
    <x v="14"/>
    <n v="2306"/>
  </r>
  <r>
    <s v="A116"/>
    <x v="11"/>
    <n v="2300"/>
  </r>
  <r>
    <s v="A116"/>
    <x v="12"/>
    <n v="2300"/>
  </r>
  <r>
    <s v="A22"/>
    <x v="4"/>
    <n v="2296"/>
  </r>
  <r>
    <s v="A22"/>
    <x v="5"/>
    <n v="2296"/>
  </r>
  <r>
    <s v="A228"/>
    <x v="9"/>
    <n v="2294"/>
  </r>
  <r>
    <s v="A228"/>
    <x v="10"/>
    <n v="2294"/>
  </r>
  <r>
    <s v="A271"/>
    <x v="9"/>
    <n v="2289"/>
  </r>
  <r>
    <s v="A271"/>
    <x v="10"/>
    <n v="2289"/>
  </r>
  <r>
    <s v="A230"/>
    <x v="1"/>
    <n v="2286"/>
  </r>
  <r>
    <s v="A55"/>
    <x v="16"/>
    <n v="2285"/>
  </r>
  <r>
    <s v="A55"/>
    <x v="17"/>
    <n v="2285"/>
  </r>
  <r>
    <s v="A281"/>
    <x v="3"/>
    <n v="2282"/>
  </r>
  <r>
    <s v="A281"/>
    <x v="8"/>
    <n v="2282"/>
  </r>
  <r>
    <s v="A137"/>
    <x v="3"/>
    <n v="2280"/>
  </r>
  <r>
    <s v="A137"/>
    <x v="15"/>
    <n v="2280"/>
  </r>
  <r>
    <s v="A288"/>
    <x v="11"/>
    <n v="2277"/>
  </r>
  <r>
    <s v="A288"/>
    <x v="12"/>
    <n v="2277"/>
  </r>
  <r>
    <s v="A132"/>
    <x v="13"/>
    <n v="2276"/>
  </r>
  <r>
    <s v="A132"/>
    <x v="14"/>
    <n v="2276"/>
  </r>
  <r>
    <s v="A159"/>
    <x v="4"/>
    <n v="2263"/>
  </r>
  <r>
    <s v="A159"/>
    <x v="5"/>
    <n v="2263"/>
  </r>
  <r>
    <s v="A208"/>
    <x v="13"/>
    <n v="2251"/>
  </r>
  <r>
    <s v="A208"/>
    <x v="14"/>
    <n v="2251"/>
  </r>
  <r>
    <s v="A214"/>
    <x v="9"/>
    <n v="2249"/>
  </r>
  <r>
    <s v="A214"/>
    <x v="10"/>
    <n v="2249"/>
  </r>
  <r>
    <s v="A266"/>
    <x v="2"/>
    <n v="2227"/>
  </r>
  <r>
    <s v="A266"/>
    <x v="3"/>
    <n v="2227"/>
  </r>
  <r>
    <s v="A232"/>
    <x v="11"/>
    <n v="2225"/>
  </r>
  <r>
    <s v="A232"/>
    <x v="12"/>
    <n v="2225"/>
  </r>
  <r>
    <s v="A227"/>
    <x v="13"/>
    <n v="2195"/>
  </r>
  <r>
    <s v="A227"/>
    <x v="14"/>
    <n v="2195"/>
  </r>
  <r>
    <s v="A20"/>
    <x v="9"/>
    <n v="2189"/>
  </r>
  <r>
    <s v="A20"/>
    <x v="10"/>
    <n v="2189"/>
  </r>
  <r>
    <s v="A83"/>
    <x v="1"/>
    <n v="2187"/>
  </r>
  <r>
    <s v="A240"/>
    <x v="4"/>
    <n v="2183"/>
  </r>
  <r>
    <s v="A240"/>
    <x v="5"/>
    <n v="2183"/>
  </r>
  <r>
    <s v="A167"/>
    <x v="3"/>
    <n v="2175"/>
  </r>
  <r>
    <s v="A167"/>
    <x v="8"/>
    <n v="2175"/>
  </r>
  <r>
    <s v="A138"/>
    <x v="9"/>
    <n v="2155"/>
  </r>
  <r>
    <s v="A138"/>
    <x v="10"/>
    <n v="2155"/>
  </r>
  <r>
    <s v="A122"/>
    <x v="0"/>
    <n v="2123"/>
  </r>
  <r>
    <s v="A122"/>
    <x v="1"/>
    <n v="2123"/>
  </r>
  <r>
    <s v="A141"/>
    <x v="2"/>
    <n v="2109"/>
  </r>
  <r>
    <s v="A141"/>
    <x v="3"/>
    <n v="2109"/>
  </r>
  <r>
    <s v="A23"/>
    <x v="3"/>
    <n v="2072"/>
  </r>
  <r>
    <s v="A23"/>
    <x v="8"/>
    <n v="2072"/>
  </r>
  <r>
    <s v="A213"/>
    <x v="2"/>
    <n v="2068"/>
  </r>
  <r>
    <s v="A213"/>
    <x v="3"/>
    <n v="2068"/>
  </r>
  <r>
    <s v="A168"/>
    <x v="13"/>
    <n v="2063"/>
  </r>
  <r>
    <s v="A168"/>
    <x v="14"/>
    <n v="2063"/>
  </r>
  <r>
    <s v="A286"/>
    <x v="11"/>
    <n v="2048"/>
  </r>
  <r>
    <s v="A286"/>
    <x v="12"/>
    <n v="2048"/>
  </r>
  <r>
    <s v="A276"/>
    <x v="3"/>
    <n v="2037"/>
  </r>
  <r>
    <s v="A276"/>
    <x v="15"/>
    <n v="2037"/>
  </r>
  <r>
    <s v="A34"/>
    <x v="9"/>
    <n v="2016"/>
  </r>
  <r>
    <s v="A34"/>
    <x v="10"/>
    <n v="2016"/>
  </r>
  <r>
    <s v="A239"/>
    <x v="13"/>
    <n v="2013"/>
  </r>
  <r>
    <s v="A239"/>
    <x v="14"/>
    <n v="2013"/>
  </r>
  <r>
    <s v="A297"/>
    <x v="18"/>
    <n v="2012"/>
  </r>
  <r>
    <s v="A8"/>
    <x v="11"/>
    <n v="2011"/>
  </r>
  <r>
    <s v="A8"/>
    <x v="12"/>
    <n v="2011"/>
  </r>
  <r>
    <s v="A123"/>
    <x v="3"/>
    <n v="2010"/>
  </r>
  <r>
    <s v="A123"/>
    <x v="8"/>
    <n v="2010"/>
  </r>
  <r>
    <s v="A220"/>
    <x v="13"/>
    <n v="2009"/>
  </r>
  <r>
    <s v="A153"/>
    <x v="13"/>
    <n v="2009"/>
  </r>
  <r>
    <s v="A220"/>
    <x v="14"/>
    <n v="2009"/>
  </r>
  <r>
    <s v="A153"/>
    <x v="14"/>
    <n v="2009"/>
  </r>
  <r>
    <s v="A31"/>
    <x v="3"/>
    <n v="2004"/>
  </r>
  <r>
    <s v="A31"/>
    <x v="15"/>
    <n v="2004"/>
  </r>
  <r>
    <s v="A170"/>
    <x v="0"/>
    <n v="2001"/>
  </r>
  <r>
    <s v="A170"/>
    <x v="1"/>
    <n v="2001"/>
  </r>
  <r>
    <s v="A201"/>
    <x v="1"/>
    <n v="1995"/>
  </r>
  <r>
    <s v="A58"/>
    <x v="9"/>
    <n v="1990"/>
  </r>
  <r>
    <s v="A58"/>
    <x v="10"/>
    <n v="1990"/>
  </r>
  <r>
    <s v="A131"/>
    <x v="2"/>
    <n v="1982"/>
  </r>
  <r>
    <s v="A131"/>
    <x v="3"/>
    <n v="1982"/>
  </r>
  <r>
    <s v="A149"/>
    <x v="16"/>
    <n v="1980"/>
  </r>
  <r>
    <s v="A149"/>
    <x v="17"/>
    <n v="1980"/>
  </r>
  <r>
    <s v="A4"/>
    <x v="3"/>
    <n v="1925"/>
  </r>
  <r>
    <s v="A4"/>
    <x v="15"/>
    <n v="1925"/>
  </r>
  <r>
    <s v="A145"/>
    <x v="13"/>
    <n v="1907"/>
  </r>
  <r>
    <s v="A145"/>
    <x v="14"/>
    <n v="1907"/>
  </r>
  <r>
    <s v="A19"/>
    <x v="3"/>
    <n v="1891"/>
  </r>
  <r>
    <s v="A19"/>
    <x v="8"/>
    <n v="1891"/>
  </r>
  <r>
    <s v="A198"/>
    <x v="3"/>
    <n v="1876"/>
  </r>
  <r>
    <s v="A198"/>
    <x v="15"/>
    <n v="1876"/>
  </r>
  <r>
    <s v="A48"/>
    <x v="16"/>
    <n v="1874"/>
  </r>
  <r>
    <s v="A48"/>
    <x v="17"/>
    <n v="1874"/>
  </r>
  <r>
    <s v="A188"/>
    <x v="6"/>
    <n v="1867"/>
  </r>
  <r>
    <s v="A188"/>
    <x v="7"/>
    <n v="1867"/>
  </r>
  <r>
    <s v="A125"/>
    <x v="16"/>
    <n v="1862"/>
  </r>
  <r>
    <s v="A125"/>
    <x v="17"/>
    <n v="1862"/>
  </r>
  <r>
    <s v="A260"/>
    <x v="13"/>
    <n v="1860"/>
  </r>
  <r>
    <s v="A260"/>
    <x v="14"/>
    <n v="1860"/>
  </r>
  <r>
    <s v="A161"/>
    <x v="9"/>
    <n v="1859"/>
  </r>
  <r>
    <s v="A161"/>
    <x v="10"/>
    <n v="1859"/>
  </r>
  <r>
    <s v="A57"/>
    <x v="3"/>
    <n v="1848"/>
  </r>
  <r>
    <s v="A57"/>
    <x v="8"/>
    <n v="1848"/>
  </r>
  <r>
    <s v="A53"/>
    <x v="3"/>
    <n v="1847"/>
  </r>
  <r>
    <s v="A53"/>
    <x v="8"/>
    <n v="1847"/>
  </r>
  <r>
    <s v="A134"/>
    <x v="1"/>
    <n v="1830"/>
  </r>
  <r>
    <s v="A113"/>
    <x v="0"/>
    <n v="1753"/>
  </r>
  <r>
    <s v="A113"/>
    <x v="1"/>
    <n v="1753"/>
  </r>
  <r>
    <s v="A235"/>
    <x v="3"/>
    <n v="1739"/>
  </r>
  <r>
    <s v="A235"/>
    <x v="15"/>
    <n v="1739"/>
  </r>
  <r>
    <s v="A75"/>
    <x v="9"/>
    <n v="1735"/>
  </r>
  <r>
    <s v="A75"/>
    <x v="10"/>
    <n v="1735"/>
  </r>
  <r>
    <s v="A194"/>
    <x v="4"/>
    <n v="1715"/>
  </r>
  <r>
    <s v="A194"/>
    <x v="5"/>
    <n v="1715"/>
  </r>
  <r>
    <s v="A133"/>
    <x v="16"/>
    <n v="1710"/>
  </r>
  <r>
    <s v="A133"/>
    <x v="17"/>
    <n v="1710"/>
  </r>
  <r>
    <s v="A185"/>
    <x v="13"/>
    <n v="1689"/>
  </r>
  <r>
    <s v="A185"/>
    <x v="14"/>
    <n v="1689"/>
  </r>
  <r>
    <s v="A293"/>
    <x v="3"/>
    <n v="1687"/>
  </r>
  <r>
    <s v="A293"/>
    <x v="8"/>
    <n v="1687"/>
  </r>
  <r>
    <s v="A176"/>
    <x v="9"/>
    <n v="1667"/>
  </r>
  <r>
    <s v="A176"/>
    <x v="10"/>
    <n v="1667"/>
  </r>
  <r>
    <s v="A285"/>
    <x v="16"/>
    <n v="1655"/>
  </r>
  <r>
    <s v="A285"/>
    <x v="17"/>
    <n v="1655"/>
  </r>
  <r>
    <s v="A68"/>
    <x v="13"/>
    <n v="1649"/>
  </r>
  <r>
    <s v="A68"/>
    <x v="14"/>
    <n v="1649"/>
  </r>
  <r>
    <s v="A18"/>
    <x v="11"/>
    <n v="1646"/>
  </r>
  <r>
    <s v="A18"/>
    <x v="12"/>
    <n v="1646"/>
  </r>
  <r>
    <s v="A183"/>
    <x v="11"/>
    <n v="1643"/>
  </r>
  <r>
    <s v="A183"/>
    <x v="12"/>
    <n v="1643"/>
  </r>
  <r>
    <s v="A242"/>
    <x v="4"/>
    <n v="1641"/>
  </r>
  <r>
    <s v="A242"/>
    <x v="5"/>
    <n v="1641"/>
  </r>
  <r>
    <s v="A203"/>
    <x v="11"/>
    <n v="1633"/>
  </r>
  <r>
    <s v="A203"/>
    <x v="12"/>
    <n v="1633"/>
  </r>
  <r>
    <s v="A226"/>
    <x v="11"/>
    <n v="1628"/>
  </r>
  <r>
    <s v="A226"/>
    <x v="12"/>
    <n v="1628"/>
  </r>
  <r>
    <s v="A13"/>
    <x v="4"/>
    <n v="1624"/>
  </r>
  <r>
    <s v="A190"/>
    <x v="4"/>
    <n v="1624"/>
  </r>
  <r>
    <s v="A261"/>
    <x v="16"/>
    <n v="1624"/>
  </r>
  <r>
    <s v="A13"/>
    <x v="5"/>
    <n v="1624"/>
  </r>
  <r>
    <s v="A190"/>
    <x v="5"/>
    <n v="1624"/>
  </r>
  <r>
    <s v="A261"/>
    <x v="17"/>
    <n v="1624"/>
  </r>
  <r>
    <s v="A24"/>
    <x v="2"/>
    <n v="1612"/>
  </r>
  <r>
    <s v="A24"/>
    <x v="3"/>
    <n v="1612"/>
  </r>
  <r>
    <s v="A142"/>
    <x v="9"/>
    <n v="1594"/>
  </r>
  <r>
    <s v="A142"/>
    <x v="10"/>
    <n v="1594"/>
  </r>
  <r>
    <s v="A238"/>
    <x v="2"/>
    <n v="1587"/>
  </r>
  <r>
    <s v="A238"/>
    <x v="3"/>
    <n v="1587"/>
  </r>
  <r>
    <s v="A25"/>
    <x v="11"/>
    <n v="1585"/>
  </r>
  <r>
    <s v="A25"/>
    <x v="12"/>
    <n v="1585"/>
  </r>
  <r>
    <s v="A2"/>
    <x v="13"/>
    <n v="1574"/>
  </r>
  <r>
    <s v="A2"/>
    <x v="14"/>
    <n v="1574"/>
  </r>
  <r>
    <s v="A300"/>
    <x v="2"/>
    <n v="1573"/>
  </r>
  <r>
    <s v="A300"/>
    <x v="3"/>
    <n v="1573"/>
  </r>
  <r>
    <s v="A262"/>
    <x v="0"/>
    <n v="1566"/>
  </r>
  <r>
    <s v="A262"/>
    <x v="1"/>
    <n v="1566"/>
  </r>
  <r>
    <s v="A85"/>
    <x v="4"/>
    <n v="1565"/>
  </r>
  <r>
    <s v="A85"/>
    <x v="5"/>
    <n v="1565"/>
  </r>
  <r>
    <s v="A166"/>
    <x v="3"/>
    <n v="1559"/>
  </r>
  <r>
    <s v="A166"/>
    <x v="8"/>
    <n v="1559"/>
  </r>
  <r>
    <s v="A60"/>
    <x v="11"/>
    <n v="1556"/>
  </r>
  <r>
    <s v="A72"/>
    <x v="3"/>
    <n v="1556"/>
  </r>
  <r>
    <s v="A60"/>
    <x v="12"/>
    <n v="1556"/>
  </r>
  <r>
    <s v="A72"/>
    <x v="8"/>
    <n v="1556"/>
  </r>
  <r>
    <s v="A102"/>
    <x v="1"/>
    <n v="1550"/>
  </r>
  <r>
    <s v="A73"/>
    <x v="16"/>
    <n v="1547"/>
  </r>
  <r>
    <s v="A56"/>
    <x v="2"/>
    <n v="1547"/>
  </r>
  <r>
    <s v="A73"/>
    <x v="17"/>
    <n v="1547"/>
  </r>
  <r>
    <s v="A56"/>
    <x v="3"/>
    <n v="1547"/>
  </r>
  <r>
    <s v="A78"/>
    <x v="4"/>
    <n v="1545"/>
  </r>
  <r>
    <s v="A78"/>
    <x v="5"/>
    <n v="1545"/>
  </r>
  <r>
    <s v="A282"/>
    <x v="3"/>
    <n v="1530"/>
  </r>
  <r>
    <s v="A282"/>
    <x v="15"/>
    <n v="1530"/>
  </r>
  <r>
    <s v="A82"/>
    <x v="4"/>
    <n v="1519"/>
  </r>
  <r>
    <s v="A82"/>
    <x v="5"/>
    <n v="1519"/>
  </r>
  <r>
    <s v="A3"/>
    <x v="9"/>
    <n v="1499"/>
  </r>
  <r>
    <s v="A3"/>
    <x v="10"/>
    <n v="1499"/>
  </r>
  <r>
    <s v="A35"/>
    <x v="3"/>
    <n v="1493"/>
  </r>
  <r>
    <s v="A35"/>
    <x v="8"/>
    <n v="1493"/>
  </r>
  <r>
    <s v="A12"/>
    <x v="13"/>
    <n v="1437"/>
  </r>
  <r>
    <s v="A12"/>
    <x v="14"/>
    <n v="1437"/>
  </r>
  <r>
    <s v="A59"/>
    <x v="11"/>
    <n v="1436"/>
  </r>
  <r>
    <s v="A59"/>
    <x v="12"/>
    <n v="1436"/>
  </r>
  <r>
    <s v="A197"/>
    <x v="9"/>
    <n v="1411"/>
  </r>
  <r>
    <s v="A197"/>
    <x v="10"/>
    <n v="1411"/>
  </r>
  <r>
    <s v="A204"/>
    <x v="1"/>
    <n v="1409"/>
  </r>
  <r>
    <s v="A248"/>
    <x v="3"/>
    <n v="1407"/>
  </r>
  <r>
    <s v="A241"/>
    <x v="0"/>
    <n v="1407"/>
  </r>
  <r>
    <s v="A248"/>
    <x v="8"/>
    <n v="1407"/>
  </r>
  <r>
    <s v="A241"/>
    <x v="1"/>
    <n v="1407"/>
  </r>
  <r>
    <s v="A121"/>
    <x v="16"/>
    <n v="1398"/>
  </r>
  <r>
    <s v="A121"/>
    <x v="17"/>
    <n v="1398"/>
  </r>
  <r>
    <s v="A179"/>
    <x v="3"/>
    <n v="1387"/>
  </r>
  <r>
    <s v="A179"/>
    <x v="8"/>
    <n v="1387"/>
  </r>
  <r>
    <s v="A146"/>
    <x v="0"/>
    <n v="1383"/>
  </r>
  <r>
    <s v="A146"/>
    <x v="1"/>
    <n v="1383"/>
  </r>
  <r>
    <s v="A275"/>
    <x v="11"/>
    <n v="1382"/>
  </r>
  <r>
    <s v="A275"/>
    <x v="12"/>
    <n v="1382"/>
  </r>
  <r>
    <s v="A44"/>
    <x v="0"/>
    <n v="1354"/>
  </r>
  <r>
    <s v="A44"/>
    <x v="1"/>
    <n v="1354"/>
  </r>
  <r>
    <s v="A152"/>
    <x v="6"/>
    <n v="1350"/>
  </r>
  <r>
    <s v="A152"/>
    <x v="7"/>
    <n v="1350"/>
  </r>
  <r>
    <s v="A88"/>
    <x v="13"/>
    <n v="1340"/>
  </r>
  <r>
    <s v="A88"/>
    <x v="14"/>
    <n v="1340"/>
  </r>
  <r>
    <s v="A106"/>
    <x v="11"/>
    <n v="1330"/>
  </r>
  <r>
    <s v="A106"/>
    <x v="12"/>
    <n v="1330"/>
  </r>
  <r>
    <s v="A171"/>
    <x v="16"/>
    <n v="1316"/>
  </r>
  <r>
    <s v="A171"/>
    <x v="17"/>
    <n v="1316"/>
  </r>
  <r>
    <s v="A172"/>
    <x v="6"/>
    <n v="1313"/>
  </r>
  <r>
    <s v="A172"/>
    <x v="7"/>
    <n v="1313"/>
  </r>
  <r>
    <s v="A67"/>
    <x v="11"/>
    <n v="1307"/>
  </r>
  <r>
    <s v="A67"/>
    <x v="12"/>
    <n v="1307"/>
  </r>
  <r>
    <s v="A74"/>
    <x v="3"/>
    <n v="1293"/>
  </r>
  <r>
    <s v="A74"/>
    <x v="15"/>
    <n v="1293"/>
  </r>
  <r>
    <s v="A80"/>
    <x v="16"/>
    <n v="1288"/>
  </r>
  <r>
    <s v="A126"/>
    <x v="11"/>
    <n v="1288"/>
  </r>
  <r>
    <s v="A80"/>
    <x v="17"/>
    <n v="1288"/>
  </r>
  <r>
    <s v="A126"/>
    <x v="12"/>
    <n v="1288"/>
  </r>
  <r>
    <s v="A148"/>
    <x v="2"/>
    <n v="1284"/>
  </r>
  <r>
    <s v="A148"/>
    <x v="3"/>
    <n v="1284"/>
  </r>
  <r>
    <s v="A124"/>
    <x v="0"/>
    <n v="1273"/>
  </r>
  <r>
    <s v="A124"/>
    <x v="1"/>
    <n v="1273"/>
  </r>
  <r>
    <s v="A10"/>
    <x v="2"/>
    <n v="1272"/>
  </r>
  <r>
    <s v="A10"/>
    <x v="3"/>
    <n v="1272"/>
  </r>
  <r>
    <s v="A258"/>
    <x v="16"/>
    <n v="1270"/>
  </r>
  <r>
    <s v="A258"/>
    <x v="17"/>
    <n v="1270"/>
  </r>
  <r>
    <s v="A158"/>
    <x v="13"/>
    <n v="1259"/>
  </r>
  <r>
    <s v="A158"/>
    <x v="14"/>
    <n v="1259"/>
  </r>
  <r>
    <s v="A289"/>
    <x v="4"/>
    <n v="1256"/>
  </r>
  <r>
    <s v="A289"/>
    <x v="5"/>
    <n v="1256"/>
  </r>
  <r>
    <s v="A295"/>
    <x v="16"/>
    <n v="1255"/>
  </r>
  <r>
    <s v="A295"/>
    <x v="17"/>
    <n v="1255"/>
  </r>
  <r>
    <s v="A103"/>
    <x v="13"/>
    <n v="1247"/>
  </r>
  <r>
    <s v="A103"/>
    <x v="14"/>
    <n v="1247"/>
  </r>
  <r>
    <s v="A207"/>
    <x v="18"/>
    <n v="1235"/>
  </r>
  <r>
    <s v="A136"/>
    <x v="9"/>
    <n v="1233"/>
  </r>
  <r>
    <s v="A136"/>
    <x v="10"/>
    <n v="1233"/>
  </r>
  <r>
    <s v="A217"/>
    <x v="16"/>
    <n v="1217"/>
  </r>
  <r>
    <s v="A90"/>
    <x v="3"/>
    <n v="1217"/>
  </r>
  <r>
    <s v="A217"/>
    <x v="17"/>
    <n v="1217"/>
  </r>
  <r>
    <s v="A90"/>
    <x v="8"/>
    <n v="1217"/>
  </r>
  <r>
    <s v="A5"/>
    <x v="16"/>
    <n v="1213"/>
  </r>
  <r>
    <s v="A5"/>
    <x v="17"/>
    <n v="1213"/>
  </r>
  <r>
    <s v="A108"/>
    <x v="11"/>
    <n v="1206"/>
  </r>
  <r>
    <s v="A108"/>
    <x v="12"/>
    <n v="1206"/>
  </r>
  <r>
    <s v="A284"/>
    <x v="4"/>
    <n v="1202"/>
  </r>
  <r>
    <s v="A284"/>
    <x v="5"/>
    <n v="1202"/>
  </r>
  <r>
    <s v="A250"/>
    <x v="11"/>
    <n v="1199"/>
  </r>
  <r>
    <s v="A250"/>
    <x v="12"/>
    <n v="1199"/>
  </r>
  <r>
    <s v="A253"/>
    <x v="18"/>
    <n v="1194"/>
  </r>
  <r>
    <s v="A119"/>
    <x v="6"/>
    <n v="1186"/>
  </r>
  <r>
    <s v="A224"/>
    <x v="6"/>
    <n v="1186"/>
  </r>
  <r>
    <s v="A119"/>
    <x v="7"/>
    <n v="1186"/>
  </r>
  <r>
    <s v="A224"/>
    <x v="7"/>
    <n v="1186"/>
  </r>
  <r>
    <s v="A92"/>
    <x v="13"/>
    <n v="1185"/>
  </r>
  <r>
    <s v="A92"/>
    <x v="14"/>
    <n v="1185"/>
  </r>
  <r>
    <s v="A256"/>
    <x v="4"/>
    <n v="1173"/>
  </r>
  <r>
    <s v="A256"/>
    <x v="5"/>
    <n v="1173"/>
  </r>
  <r>
    <s v="A129"/>
    <x v="3"/>
    <n v="1168"/>
  </r>
  <r>
    <s v="A129"/>
    <x v="15"/>
    <n v="1168"/>
  </r>
  <r>
    <s v="A43"/>
    <x v="18"/>
    <n v="1125"/>
  </r>
  <r>
    <s v="A255"/>
    <x v="6"/>
    <n v="1108"/>
  </r>
  <r>
    <s v="A255"/>
    <x v="7"/>
    <n v="1108"/>
  </r>
  <r>
    <s v="A9"/>
    <x v="13"/>
    <n v="1095"/>
  </r>
  <r>
    <s v="A9"/>
    <x v="14"/>
    <n v="1095"/>
  </r>
  <r>
    <s v="A139"/>
    <x v="3"/>
    <n v="1092"/>
  </r>
  <r>
    <s v="A139"/>
    <x v="8"/>
    <n v="1092"/>
  </r>
  <r>
    <s v="A140"/>
    <x v="4"/>
    <n v="1091"/>
  </r>
  <r>
    <s v="A140"/>
    <x v="5"/>
    <n v="1091"/>
  </r>
  <r>
    <s v="A195"/>
    <x v="2"/>
    <n v="1078"/>
  </r>
  <r>
    <s v="A195"/>
    <x v="3"/>
    <n v="1078"/>
  </r>
  <r>
    <s v="A101"/>
    <x v="13"/>
    <n v="1062"/>
  </r>
  <r>
    <s v="A101"/>
    <x v="14"/>
    <n v="1062"/>
  </r>
  <r>
    <s v="A277"/>
    <x v="18"/>
    <n v="1054"/>
  </r>
  <r>
    <s v="A264"/>
    <x v="0"/>
    <n v="1049"/>
  </r>
  <r>
    <s v="A264"/>
    <x v="1"/>
    <n v="1049"/>
  </r>
  <r>
    <s v="A114"/>
    <x v="9"/>
    <n v="1037"/>
  </r>
  <r>
    <s v="A114"/>
    <x v="10"/>
    <n v="1037"/>
  </r>
  <r>
    <s v="A86"/>
    <x v="2"/>
    <n v="1030"/>
  </r>
  <r>
    <s v="A86"/>
    <x v="3"/>
    <n v="1030"/>
  </r>
  <r>
    <s v="A191"/>
    <x v="0"/>
    <n v="1028"/>
  </r>
  <r>
    <s v="A191"/>
    <x v="1"/>
    <n v="1028"/>
  </r>
  <r>
    <s v="A100"/>
    <x v="1"/>
    <n v="1015"/>
  </r>
  <r>
    <s v="A237"/>
    <x v="9"/>
    <n v="1015"/>
  </r>
  <r>
    <s v="A237"/>
    <x v="10"/>
    <n v="1015"/>
  </r>
  <r>
    <s v="A206"/>
    <x v="3"/>
    <n v="1013"/>
  </r>
  <r>
    <s v="A206"/>
    <x v="8"/>
    <n v="1013"/>
  </r>
  <r>
    <s v="A97"/>
    <x v="6"/>
    <n v="1003"/>
  </r>
  <r>
    <s v="A97"/>
    <x v="7"/>
    <n v="1003"/>
  </r>
  <r>
    <s v="A39"/>
    <x v="4"/>
    <n v="999"/>
  </r>
  <r>
    <s v="A63"/>
    <x v="16"/>
    <n v="999"/>
  </r>
  <r>
    <s v="A39"/>
    <x v="5"/>
    <n v="999"/>
  </r>
  <r>
    <s v="A63"/>
    <x v="17"/>
    <n v="999"/>
  </r>
  <r>
    <s v="A268"/>
    <x v="18"/>
    <n v="994"/>
  </r>
  <r>
    <s v="A160"/>
    <x v="0"/>
    <n v="992"/>
  </r>
  <r>
    <s v="A160"/>
    <x v="1"/>
    <n v="992"/>
  </r>
  <r>
    <s v="A98"/>
    <x v="4"/>
    <n v="986"/>
  </r>
  <r>
    <s v="A98"/>
    <x v="5"/>
    <n v="986"/>
  </r>
  <r>
    <s v="A265"/>
    <x v="2"/>
    <n v="984"/>
  </r>
  <r>
    <s v="A265"/>
    <x v="3"/>
    <n v="984"/>
  </r>
  <r>
    <s v="A66"/>
    <x v="11"/>
    <n v="974"/>
  </r>
  <r>
    <s v="A66"/>
    <x v="12"/>
    <n v="974"/>
  </r>
  <r>
    <s v="A272"/>
    <x v="0"/>
    <n v="961"/>
  </r>
  <r>
    <s v="A272"/>
    <x v="1"/>
    <n v="961"/>
  </r>
  <r>
    <s v="A231"/>
    <x v="4"/>
    <n v="934"/>
  </r>
  <r>
    <s v="A231"/>
    <x v="5"/>
    <n v="934"/>
  </r>
  <r>
    <s v="A298"/>
    <x v="2"/>
    <n v="907"/>
  </r>
  <r>
    <s v="A298"/>
    <x v="3"/>
    <n v="907"/>
  </r>
  <r>
    <s v="A186"/>
    <x v="9"/>
    <n v="906"/>
  </r>
  <r>
    <s v="A186"/>
    <x v="10"/>
    <n v="906"/>
  </r>
  <r>
    <s v="A11"/>
    <x v="3"/>
    <n v="892"/>
  </r>
  <r>
    <s v="A11"/>
    <x v="15"/>
    <n v="892"/>
  </r>
  <r>
    <s v="A202"/>
    <x v="6"/>
    <n v="891"/>
  </r>
  <r>
    <s v="A202"/>
    <x v="7"/>
    <n v="891"/>
  </r>
  <r>
    <s v="A151"/>
    <x v="18"/>
    <n v="890"/>
  </r>
  <r>
    <s v="A51"/>
    <x v="11"/>
    <n v="888"/>
  </r>
  <r>
    <s v="A51"/>
    <x v="12"/>
    <n v="888"/>
  </r>
  <r>
    <s v="A71"/>
    <x v="3"/>
    <n v="885"/>
  </r>
  <r>
    <s v="A71"/>
    <x v="15"/>
    <n v="885"/>
  </r>
  <r>
    <s v="A177"/>
    <x v="0"/>
    <n v="883"/>
  </r>
  <r>
    <s v="A177"/>
    <x v="1"/>
    <n v="883"/>
  </r>
  <r>
    <s v="A76"/>
    <x v="1"/>
    <n v="871"/>
  </r>
  <r>
    <s v="A135"/>
    <x v="2"/>
    <n v="869"/>
  </r>
  <r>
    <s v="A111"/>
    <x v="1"/>
    <n v="869"/>
  </r>
  <r>
    <s v="A135"/>
    <x v="3"/>
    <n v="869"/>
  </r>
  <r>
    <s v="A42"/>
    <x v="3"/>
    <n v="856"/>
  </r>
  <r>
    <s v="A42"/>
    <x v="8"/>
    <n v="856"/>
  </r>
  <r>
    <s v="A236"/>
    <x v="0"/>
    <n v="852"/>
  </r>
  <r>
    <s v="A236"/>
    <x v="1"/>
    <n v="852"/>
  </r>
  <r>
    <s v="A273"/>
    <x v="6"/>
    <n v="848"/>
  </r>
  <r>
    <s v="A273"/>
    <x v="7"/>
    <n v="848"/>
  </r>
  <r>
    <s v="A163"/>
    <x v="16"/>
    <n v="826"/>
  </r>
  <r>
    <s v="A163"/>
    <x v="17"/>
    <n v="826"/>
  </r>
  <r>
    <s v="A169"/>
    <x v="4"/>
    <n v="820"/>
  </r>
  <r>
    <s v="A169"/>
    <x v="5"/>
    <n v="820"/>
  </r>
  <r>
    <s v="A150"/>
    <x v="0"/>
    <n v="819"/>
  </r>
  <r>
    <s v="A150"/>
    <x v="1"/>
    <n v="819"/>
  </r>
  <r>
    <s v="A115"/>
    <x v="16"/>
    <n v="815"/>
  </r>
  <r>
    <s v="A292"/>
    <x v="4"/>
    <n v="815"/>
  </r>
  <r>
    <s v="A115"/>
    <x v="17"/>
    <n v="815"/>
  </r>
  <r>
    <s v="A292"/>
    <x v="5"/>
    <n v="815"/>
  </r>
  <r>
    <s v="A254"/>
    <x v="3"/>
    <n v="814"/>
  </r>
  <r>
    <s v="A254"/>
    <x v="8"/>
    <n v="814"/>
  </r>
  <r>
    <s v="A84"/>
    <x v="13"/>
    <n v="783"/>
  </r>
  <r>
    <s v="A84"/>
    <x v="14"/>
    <n v="783"/>
  </r>
  <r>
    <s v="A94"/>
    <x v="2"/>
    <n v="773"/>
  </r>
  <r>
    <s v="A94"/>
    <x v="3"/>
    <n v="773"/>
  </r>
  <r>
    <s v="A247"/>
    <x v="18"/>
    <n v="758"/>
  </r>
  <r>
    <s v="A6"/>
    <x v="1"/>
    <n v="753"/>
  </r>
  <r>
    <s v="A64"/>
    <x v="1"/>
    <n v="747"/>
  </r>
  <r>
    <s v="A279"/>
    <x v="3"/>
    <n v="744"/>
  </r>
  <r>
    <s v="A279"/>
    <x v="15"/>
    <n v="744"/>
  </r>
  <r>
    <s v="A225"/>
    <x v="11"/>
    <n v="727"/>
  </r>
  <r>
    <s v="A225"/>
    <x v="12"/>
    <n v="727"/>
  </r>
  <r>
    <s v="A46"/>
    <x v="3"/>
    <n v="725"/>
  </r>
  <r>
    <s v="A46"/>
    <x v="8"/>
    <n v="725"/>
  </r>
  <r>
    <s v="A252"/>
    <x v="3"/>
    <n v="709"/>
  </r>
  <r>
    <s v="A252"/>
    <x v="8"/>
    <n v="709"/>
  </r>
  <r>
    <s v="A291"/>
    <x v="4"/>
    <n v="703"/>
  </r>
  <r>
    <s v="A291"/>
    <x v="5"/>
    <n v="703"/>
  </r>
  <r>
    <s v="A178"/>
    <x v="9"/>
    <n v="694"/>
  </r>
  <r>
    <s v="A178"/>
    <x v="10"/>
    <n v="694"/>
  </r>
  <r>
    <s v="A162"/>
    <x v="4"/>
    <n v="677"/>
  </r>
  <r>
    <s v="A162"/>
    <x v="5"/>
    <n v="677"/>
  </r>
  <r>
    <s v="A32"/>
    <x v="3"/>
    <n v="662"/>
  </r>
  <r>
    <s v="A32"/>
    <x v="8"/>
    <n v="662"/>
  </r>
  <r>
    <s v="A62"/>
    <x v="3"/>
    <n v="659"/>
  </r>
  <r>
    <s v="A62"/>
    <x v="8"/>
    <n v="659"/>
  </r>
  <r>
    <s v="A36"/>
    <x v="18"/>
    <n v="655"/>
  </r>
  <r>
    <s v="A283"/>
    <x v="11"/>
    <n v="652"/>
  </r>
  <r>
    <s v="A283"/>
    <x v="12"/>
    <n v="652"/>
  </r>
  <r>
    <s v="A157"/>
    <x v="0"/>
    <n v="648"/>
  </r>
  <r>
    <s v="A157"/>
    <x v="1"/>
    <n v="648"/>
  </r>
  <r>
    <s v="A184"/>
    <x v="3"/>
    <n v="637"/>
  </r>
  <r>
    <s v="A184"/>
    <x v="8"/>
    <n v="637"/>
  </r>
  <r>
    <s v="A15"/>
    <x v="9"/>
    <n v="617"/>
  </r>
  <r>
    <s v="A15"/>
    <x v="10"/>
    <n v="617"/>
  </r>
  <r>
    <s v="A229"/>
    <x v="13"/>
    <n v="616"/>
  </r>
  <r>
    <s v="A229"/>
    <x v="14"/>
    <n v="616"/>
  </r>
  <r>
    <s v="A274"/>
    <x v="4"/>
    <n v="611"/>
  </r>
  <r>
    <s v="A274"/>
    <x v="5"/>
    <n v="611"/>
  </r>
  <r>
    <s v="A270"/>
    <x v="13"/>
    <n v="606"/>
  </r>
  <r>
    <s v="A270"/>
    <x v="14"/>
    <n v="606"/>
  </r>
  <r>
    <s v="A54"/>
    <x v="9"/>
    <n v="594"/>
  </r>
  <r>
    <s v="A54"/>
    <x v="10"/>
    <n v="594"/>
  </r>
  <r>
    <s v="A99"/>
    <x v="4"/>
    <n v="584"/>
  </r>
  <r>
    <s v="A99"/>
    <x v="5"/>
    <n v="584"/>
  </r>
  <r>
    <s v="A81"/>
    <x v="3"/>
    <n v="577"/>
  </r>
  <r>
    <s v="A81"/>
    <x v="15"/>
    <n v="577"/>
  </r>
  <r>
    <s v="A181"/>
    <x v="11"/>
    <n v="573"/>
  </r>
  <r>
    <s v="A181"/>
    <x v="12"/>
    <n v="573"/>
  </r>
  <r>
    <s v="A244"/>
    <x v="0"/>
    <n v="550"/>
  </r>
  <r>
    <s v="A244"/>
    <x v="1"/>
    <n v="550"/>
  </r>
  <r>
    <s v="A209"/>
    <x v="3"/>
    <n v="541"/>
  </r>
  <r>
    <s v="A209"/>
    <x v="15"/>
    <n v="541"/>
  </r>
  <r>
    <s v="A26"/>
    <x v="11"/>
    <n v="515"/>
  </r>
  <r>
    <s v="A26"/>
    <x v="12"/>
    <n v="515"/>
  </r>
  <r>
    <s v="A196"/>
    <x v="18"/>
    <n v="513"/>
  </r>
  <r>
    <s v="A249"/>
    <x v="18"/>
    <n v="507"/>
  </r>
  <r>
    <s v="A37"/>
    <x v="9"/>
    <n v="490"/>
  </r>
  <r>
    <s v="A37"/>
    <x v="10"/>
    <n v="490"/>
  </r>
  <r>
    <s v="A187"/>
    <x v="6"/>
    <n v="465"/>
  </r>
  <r>
    <s v="A187"/>
    <x v="7"/>
    <n v="465"/>
  </r>
  <r>
    <s v="A287"/>
    <x v="3"/>
    <n v="458"/>
  </r>
  <r>
    <s v="A287"/>
    <x v="15"/>
    <n v="458"/>
  </r>
  <r>
    <s v="A222"/>
    <x v="18"/>
    <n v="442"/>
  </r>
  <r>
    <s v="A174"/>
    <x v="16"/>
    <n v="416"/>
  </r>
  <r>
    <s v="A174"/>
    <x v="17"/>
    <n v="416"/>
  </r>
  <r>
    <s v="A243"/>
    <x v="2"/>
    <n v="410"/>
  </r>
  <r>
    <s v="A243"/>
    <x v="3"/>
    <n v="410"/>
  </r>
  <r>
    <s v="A223"/>
    <x v="9"/>
    <n v="405"/>
  </r>
  <r>
    <s v="A223"/>
    <x v="10"/>
    <n v="405"/>
  </r>
  <r>
    <s v="A193"/>
    <x v="11"/>
    <n v="401"/>
  </r>
  <r>
    <s v="A193"/>
    <x v="12"/>
    <n v="401"/>
  </r>
  <r>
    <s v="A219"/>
    <x v="4"/>
    <n v="389"/>
  </r>
  <r>
    <s v="A219"/>
    <x v="5"/>
    <n v="389"/>
  </r>
  <r>
    <s v="A130"/>
    <x v="13"/>
    <n v="383"/>
  </r>
  <r>
    <s v="A130"/>
    <x v="14"/>
    <n v="383"/>
  </r>
  <r>
    <s v="A180"/>
    <x v="11"/>
    <n v="371"/>
  </r>
  <r>
    <s v="A180"/>
    <x v="12"/>
    <n v="371"/>
  </r>
  <r>
    <s v="A118"/>
    <x v="1"/>
    <n v="338"/>
  </r>
  <r>
    <s v="A7"/>
    <x v="4"/>
    <n v="336"/>
  </r>
  <r>
    <s v="A7"/>
    <x v="5"/>
    <n v="336"/>
  </r>
  <r>
    <s v="A278"/>
    <x v="4"/>
    <n v="334"/>
  </r>
  <r>
    <s v="A278"/>
    <x v="5"/>
    <n v="334"/>
  </r>
  <r>
    <s v="A107"/>
    <x v="3"/>
    <n v="328"/>
  </r>
  <r>
    <s v="A107"/>
    <x v="15"/>
    <n v="328"/>
  </r>
  <r>
    <s v="A251"/>
    <x v="4"/>
    <n v="321"/>
  </r>
  <r>
    <s v="A93"/>
    <x v="2"/>
    <n v="321"/>
  </r>
  <r>
    <s v="A251"/>
    <x v="5"/>
    <n v="321"/>
  </r>
  <r>
    <s v="A93"/>
    <x v="3"/>
    <n v="321"/>
  </r>
  <r>
    <s v="A127"/>
    <x v="3"/>
    <n v="320"/>
  </r>
  <r>
    <s v="A127"/>
    <x v="8"/>
    <n v="320"/>
  </r>
  <r>
    <s v="A257"/>
    <x v="3"/>
    <n v="313"/>
  </r>
  <r>
    <s v="A257"/>
    <x v="8"/>
    <n v="313"/>
  </r>
  <r>
    <s v="A211"/>
    <x v="18"/>
    <n v="301"/>
  </r>
  <r>
    <m/>
    <x v="19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s v="A1"/>
    <x v="0"/>
    <d v="2024-12-23T00:00:00"/>
    <x v="0"/>
    <s v="#AppleWatchUltra2 #HealthTech"/>
    <n v="24516"/>
    <n v="976"/>
    <n v="974"/>
    <n v="2675"/>
    <n v="23275"/>
    <n v="202932"/>
    <s v="Apple Watch Ultra 2 Launch"/>
    <n v="0.53094469075370632"/>
  </r>
  <r>
    <s v="A2"/>
    <x v="1"/>
    <d v="2025-09-03T00:00:00"/>
    <x v="0"/>
    <s v="#MacBookAirM3 #AppleInnovation"/>
    <n v="4779"/>
    <n v="1110"/>
    <n v="436"/>
    <n v="1574"/>
    <n v="77167"/>
    <n v="71585"/>
    <s v="Apple Event September 2025"/>
    <n v="0.14465077985637836"/>
  </r>
  <r>
    <s v="A3"/>
    <x v="2"/>
    <d v="2025-05-12T00:00:00"/>
    <x v="1"/>
    <s v="#AppleDesign #Innovation"/>
    <n v="19308"/>
    <n v="1318"/>
    <n v="795"/>
    <n v="1499"/>
    <n v="52307"/>
    <n v="193087"/>
    <s v="Sustainability Awareness Drive"/>
    <n v="0.45997423233841528"/>
  </r>
  <r>
    <s v="A4"/>
    <x v="0"/>
    <d v="2024-08-12T00:00:00"/>
    <x v="2"/>
    <s v="#AppleEvent #iPadPro"/>
    <n v="3581"/>
    <n v="517"/>
    <n v="880"/>
    <n v="1925"/>
    <n v="18636"/>
    <n v="248611"/>
    <s v="iPhone 16 Launch"/>
    <n v="7.9127656530654414E-2"/>
  </r>
  <r>
    <s v="A5"/>
    <x v="0"/>
    <d v="2025-09-04T00:00:00"/>
    <x v="2"/>
    <s v="#AppleWatchUltra2 #HealthTech"/>
    <n v="21708"/>
    <n v="435"/>
    <n v="317"/>
    <n v="1213"/>
    <n v="70701"/>
    <n v="83585"/>
    <s v="Apple Event September 2025"/>
    <n v="0.38872927411817648"/>
  </r>
  <r>
    <s v="A6"/>
    <x v="1"/>
    <d v="2025-09-05T00:00:00"/>
    <x v="0"/>
    <s v="#ShotOniPhone"/>
    <n v="14677"/>
    <n v="533"/>
    <n v="759"/>
    <n v="753"/>
    <n v="23275"/>
    <n v="66958"/>
    <s v="Apple Event September 2025"/>
    <n v="0.32516799022602322"/>
  </r>
  <r>
    <s v="A7"/>
    <x v="2"/>
    <d v="2024-06-24T00:00:00"/>
    <x v="3"/>
    <s v="#AppleMusic #AppleLifestyle"/>
    <n v="7713"/>
    <n v="575"/>
    <n v="417"/>
    <n v="336"/>
    <n v="61660"/>
    <n v="66017"/>
    <s v="iPhone 16 Launch"/>
    <n v="0.19940898886699959"/>
  </r>
  <r>
    <s v="A8"/>
    <x v="2"/>
    <d v="2024-07-13T00:00:00"/>
    <x v="2"/>
    <s v="#AppleWatch #Health"/>
    <n v="18639"/>
    <n v="1360"/>
    <n v="898"/>
    <n v="2011"/>
    <n v="42841"/>
    <n v="247779"/>
    <s v="iPhone 16 Launch"/>
    <n v="0.29288837809048607"/>
  </r>
  <r>
    <s v="A9"/>
    <x v="0"/>
    <d v="2024-08-30T00:00:00"/>
    <x v="3"/>
    <s v="#MacBookAirM3 #AppleInnovation"/>
    <n v="6804"/>
    <n v="787"/>
    <n v="970"/>
    <n v="1095"/>
    <n v="56343"/>
    <n v="164677"/>
    <s v="Apple Watch Ultra 2 Launch"/>
    <n v="0.13889609968200403"/>
  </r>
  <r>
    <s v="A10"/>
    <x v="3"/>
    <d v="2025-03-11T00:00:00"/>
    <x v="2"/>
    <s v="#iPhone16Launch #AppleEvent"/>
    <n v="20222"/>
    <n v="712"/>
    <n v="604"/>
    <n v="1272"/>
    <n v="71598"/>
    <n v="216422"/>
    <s v="Sustainability Awareness Drive"/>
    <n v="0.31140027470541459"/>
  </r>
  <r>
    <s v="A11"/>
    <x v="0"/>
    <d v="2025-02-02T00:00:00"/>
    <x v="3"/>
    <s v="#AppleEvent #iPadPro"/>
    <n v="12136"/>
    <n v="1117"/>
    <n v="834"/>
    <n v="892"/>
    <n v="24675"/>
    <n v="183273"/>
    <s v="Sustainability Awareness Drive"/>
    <n v="0.1903725826722705"/>
  </r>
  <r>
    <s v="A12"/>
    <x v="0"/>
    <d v="2024-07-21T00:00:00"/>
    <x v="1"/>
    <s v="#MacBookAirM3 #AppleInnovation"/>
    <n v="2009"/>
    <n v="1072"/>
    <n v="550"/>
    <n v="1437"/>
    <n v="22982"/>
    <n v="69426"/>
    <s v="iPhone 16 Launch"/>
    <n v="7.9446000350078774E-2"/>
  </r>
  <r>
    <s v="A13"/>
    <x v="0"/>
    <d v="2024-11-18T00:00:00"/>
    <x v="3"/>
    <s v="#AppleMusic #AppleLifestyle"/>
    <n v="21255"/>
    <n v="1452"/>
    <n v="625"/>
    <n v="1624"/>
    <n v="21282"/>
    <n v="57778"/>
    <s v="MacBook Air M3 Campaign"/>
    <n v="0.30335179551187041"/>
  </r>
  <r>
    <s v="A14"/>
    <x v="0"/>
    <d v="2025-09-06T00:00:00"/>
    <x v="1"/>
    <s v="#AppleWatch #Health"/>
    <n v="7124"/>
    <n v="469"/>
    <n v="851"/>
    <n v="2571"/>
    <n v="33802"/>
    <n v="216313"/>
    <s v="Apple Event September 2025"/>
    <n v="0.13486232671053472"/>
  </r>
  <r>
    <s v="A15"/>
    <x v="1"/>
    <d v="2025-09-07T00:00:00"/>
    <x v="1"/>
    <s v="#AppleDesign #Innovation"/>
    <n v="3015"/>
    <n v="997"/>
    <n v="783"/>
    <n v="617"/>
    <n v="77167"/>
    <n v="82229"/>
    <s v="Apple Event September 2025"/>
    <n v="8.0577401357800629E-2"/>
  </r>
  <r>
    <s v="A16"/>
    <x v="2"/>
    <d v="2024-08-26T00:00:00"/>
    <x v="3"/>
    <s v="#AppleWatch #Health"/>
    <n v="4193"/>
    <n v="924"/>
    <n v="707"/>
    <n v="2696"/>
    <n v="55075"/>
    <n v="126652"/>
    <s v="iPhone 16 Launch"/>
    <n v="9.0873628859866745E-2"/>
  </r>
  <r>
    <s v="A17"/>
    <x v="1"/>
    <d v="2025-05-05T00:00:00"/>
    <x v="1"/>
    <s v="#AppleEvent #iPhone16"/>
    <n v="10415"/>
    <n v="1388"/>
    <n v="725"/>
    <n v="2462"/>
    <n v="53082"/>
    <n v="168267"/>
    <s v="MacBook Air M3 Campaign"/>
    <n v="0.23343084462166241"/>
  </r>
  <r>
    <s v="A18"/>
    <x v="1"/>
    <d v="2024-08-19T00:00:00"/>
    <x v="0"/>
    <s v="#AppleWatch #Health"/>
    <n v="15550"/>
    <n v="204"/>
    <n v="279"/>
    <n v="1646"/>
    <n v="35819"/>
    <n v="219436"/>
    <s v="Apple Watch Ultra 2 Launch"/>
    <n v="0.2423550752021767"/>
  </r>
  <r>
    <s v="A19"/>
    <x v="1"/>
    <d v="2024-06-23T00:00:00"/>
    <x v="1"/>
    <s v="#AppleEvent #iPhone16"/>
    <n v="16512"/>
    <n v="1050"/>
    <n v="971"/>
    <n v="1891"/>
    <n v="15865"/>
    <n v="166503"/>
    <s v="iPhone 16 Launch"/>
    <n v="0.42397968521229867"/>
  </r>
  <r>
    <s v="A20"/>
    <x v="0"/>
    <d v="2024-09-09T00:00:00"/>
    <x v="2"/>
    <s v="#AppleDesign #Innovation"/>
    <n v="6158"/>
    <n v="277"/>
    <n v="512"/>
    <n v="2189"/>
    <n v="76881"/>
    <n v="124878"/>
    <s v="iPhone 16 Launch"/>
    <n v="0.13831757093081135"/>
  </r>
  <r>
    <s v="A21"/>
    <x v="3"/>
    <d v="2025-09-08T00:00:00"/>
    <x v="3"/>
    <s v="#iPhonePhotography #ShotOniPhone"/>
    <n v="22309"/>
    <n v="773"/>
    <n v="854"/>
    <n v="2387"/>
    <n v="72396"/>
    <n v="97056"/>
    <s v="Apple Event September 2025"/>
    <n v="0.28636717114314769"/>
  </r>
  <r>
    <s v="A22"/>
    <x v="2"/>
    <d v="2025-02-27T00:00:00"/>
    <x v="0"/>
    <s v="#AppleMusic #AppleLifestyle"/>
    <n v="8970"/>
    <n v="331"/>
    <n v="968"/>
    <n v="2296"/>
    <n v="24613"/>
    <n v="198562"/>
    <s v="iPhone 16 Launch"/>
    <n v="0.18481723449057827"/>
  </r>
  <r>
    <s v="A23"/>
    <x v="3"/>
    <d v="2024-11-06T00:00:00"/>
    <x v="3"/>
    <s v="#AppleEvent #iPhone16"/>
    <n v="8938"/>
    <n v="800"/>
    <n v="842"/>
    <n v="2072"/>
    <n v="31736"/>
    <n v="59975"/>
    <s v="iPhone 16 Launch"/>
    <n v="0.15417122040072859"/>
  </r>
  <r>
    <s v="A24"/>
    <x v="1"/>
    <d v="2025-01-23T00:00:00"/>
    <x v="2"/>
    <s v="#iPhone16Launch #AppleEvent"/>
    <n v="23168"/>
    <n v="1265"/>
    <n v="441"/>
    <n v="1612"/>
    <n v="66615"/>
    <n v="197795"/>
    <s v="iPhone 16 Launch"/>
    <n v="0.37954132779956362"/>
  </r>
  <r>
    <s v="A25"/>
    <x v="1"/>
    <d v="2025-09-09T00:00:00"/>
    <x v="2"/>
    <s v="#AppleWatch #Health"/>
    <n v="15772"/>
    <n v="288"/>
    <n v="520"/>
    <n v="1585"/>
    <n v="59182"/>
    <n v="194351"/>
    <s v="Apple Event September 2025"/>
    <n v="0.17082921200131881"/>
  </r>
  <r>
    <s v="A26"/>
    <x v="3"/>
    <d v="2025-04-05T00:00:00"/>
    <x v="2"/>
    <s v="#AppleWatch #Health"/>
    <n v="22384"/>
    <n v="601"/>
    <n v="943"/>
    <n v="515"/>
    <n v="41309"/>
    <n v="249373"/>
    <s v="Apple Watch Ultra 2 Launch"/>
    <n v="0.37042541333828721"/>
  </r>
  <r>
    <s v="A27"/>
    <x v="3"/>
    <d v="2024-09-17T00:00:00"/>
    <x v="1"/>
    <s v="#iPhone16Launch #AppleEvent"/>
    <n v="20017"/>
    <n v="495"/>
    <n v="178"/>
    <n v="2683"/>
    <n v="32244"/>
    <n v="182633"/>
    <s v="Apple Watch Ultra 2 Launch"/>
    <n v="0.27243041108155797"/>
  </r>
  <r>
    <s v="A28"/>
    <x v="3"/>
    <d v="2025-03-04T00:00:00"/>
    <x v="1"/>
    <s v="#ShotOniPhone"/>
    <n v="12344"/>
    <n v="815"/>
    <n v="298"/>
    <n v="2439"/>
    <n v="6259"/>
    <n v="237133"/>
    <s v="iPhone 16 Launch"/>
    <n v="0.13008342274937409"/>
  </r>
  <r>
    <s v="A29"/>
    <x v="1"/>
    <d v="2025-09-10T00:00:00"/>
    <x v="3"/>
    <s v="#MacBookProM3"/>
    <n v="9266"/>
    <n v="999"/>
    <n v="928"/>
    <n v="2700"/>
    <n v="12264"/>
    <n v="128397"/>
    <s v="Apple Event September 2025"/>
    <n v="0.10693199839501691"/>
  </r>
  <r>
    <s v="A30"/>
    <x v="1"/>
    <d v="2025-02-25T00:00:00"/>
    <x v="3"/>
    <s v="#iPhonePhotography #ShotOniPhone"/>
    <n v="10702"/>
    <n v="621"/>
    <n v="445"/>
    <n v="2918"/>
    <n v="54808"/>
    <n v="220225"/>
    <s v="Apple Watch Ultra 2 Launch"/>
    <n v="0.17575196391767975"/>
  </r>
  <r>
    <s v="A31"/>
    <x v="2"/>
    <d v="2024-12-16T00:00:00"/>
    <x v="0"/>
    <s v="#AppleEvent #iPadPro"/>
    <n v="2384"/>
    <n v="1246"/>
    <n v="160"/>
    <n v="2004"/>
    <n v="2701"/>
    <n v="73142"/>
    <s v="Apple Watch Ultra 2 Launch"/>
    <n v="4.2888828535216368E-2"/>
  </r>
  <r>
    <s v="A32"/>
    <x v="2"/>
    <d v="2024-07-31T00:00:00"/>
    <x v="0"/>
    <s v="#AppleEvent #iPhone16"/>
    <n v="2404"/>
    <n v="774"/>
    <n v="661"/>
    <n v="662"/>
    <n v="12676"/>
    <n v="66916"/>
    <s v="Apple Watch Ultra 2 Launch"/>
    <n v="3.5810565002845067E-2"/>
  </r>
  <r>
    <s v="A33"/>
    <x v="1"/>
    <d v="2025-09-11T00:00:00"/>
    <x v="3"/>
    <s v="#iPhone16Launch #AppleEvent"/>
    <n v="10175"/>
    <n v="342"/>
    <n v="825"/>
    <n v="2904"/>
    <n v="15954"/>
    <n v="104324"/>
    <s v="Apple Event September 2025"/>
    <n v="0.15452947668160824"/>
  </r>
  <r>
    <s v="A34"/>
    <x v="3"/>
    <d v="2025-09-12T00:00:00"/>
    <x v="1"/>
    <s v="#AppleDesign #Innovation"/>
    <n v="17158"/>
    <n v="1192"/>
    <n v="262"/>
    <n v="2016"/>
    <n v="28771"/>
    <n v="216037"/>
    <s v="Apple Event September 2025"/>
    <n v="0.17957277656638945"/>
  </r>
  <r>
    <s v="A35"/>
    <x v="3"/>
    <d v="2024-11-30T00:00:00"/>
    <x v="2"/>
    <s v="#AppleEvent #iPhone16"/>
    <n v="14763"/>
    <n v="864"/>
    <n v="336"/>
    <n v="1493"/>
    <n v="33310"/>
    <n v="165932"/>
    <s v="iPhone 16 Launch"/>
    <n v="0.15322812877958877"/>
  </r>
  <r>
    <s v="A36"/>
    <x v="2"/>
    <d v="2025-04-19T00:00:00"/>
    <x v="3"/>
    <s v="#MacBookProM3"/>
    <n v="20384"/>
    <n v="344"/>
    <n v="956"/>
    <n v="655"/>
    <n v="67621"/>
    <n v="175720"/>
    <s v="Sustainability Awareness Drive"/>
    <n v="0.22469767779240024"/>
  </r>
  <r>
    <s v="A37"/>
    <x v="1"/>
    <d v="2025-01-06T00:00:00"/>
    <x v="0"/>
    <s v="#AppleDesign #Innovation"/>
    <n v="11860"/>
    <n v="1448"/>
    <n v="893"/>
    <n v="490"/>
    <n v="23518"/>
    <n v="206205"/>
    <s v="Apple Watch Ultra 2 Launch"/>
    <n v="0.18671031699075719"/>
  </r>
  <r>
    <s v="A38"/>
    <x v="2"/>
    <d v="2025-02-17T00:00:00"/>
    <x v="1"/>
    <s v="#MacBookAirM3 #AppleInnovation"/>
    <n v="7989"/>
    <n v="1206"/>
    <n v="376"/>
    <n v="2769"/>
    <n v="27550"/>
    <n v="221749"/>
    <s v="Sustainability Awareness Drive"/>
    <n v="0.11142933650006404"/>
  </r>
  <r>
    <s v="A39"/>
    <x v="2"/>
    <d v="2025-09-13T00:00:00"/>
    <x v="3"/>
    <s v="#AppleMusic #AppleLifestyle"/>
    <n v="17106"/>
    <n v="702"/>
    <n v="459"/>
    <n v="999"/>
    <n v="59627"/>
    <n v="136059"/>
    <s v="Apple Event September 2025"/>
    <n v="0.41408623112843995"/>
  </r>
  <r>
    <s v="A40"/>
    <x v="0"/>
    <d v="2025-09-14T00:00:00"/>
    <x v="3"/>
    <s v="#AppleWatch #Health"/>
    <n v="19844"/>
    <n v="1020"/>
    <n v="247"/>
    <n v="2354"/>
    <n v="37792"/>
    <n v="138317"/>
    <s v="Apple Event September 2025"/>
    <n v="0.18633326566458069"/>
  </r>
  <r>
    <s v="A41"/>
    <x v="0"/>
    <d v="2025-09-15T00:00:00"/>
    <x v="1"/>
    <s v="#MacBookAirM3 #AppleInnovation"/>
    <n v="5636"/>
    <n v="303"/>
    <n v="204"/>
    <n v="2480"/>
    <n v="7377"/>
    <n v="241207"/>
    <s v="Apple Event September 2025"/>
    <n v="6.3930979935059529E-2"/>
  </r>
  <r>
    <s v="A42"/>
    <x v="0"/>
    <d v="2025-03-05T00:00:00"/>
    <x v="3"/>
    <s v="#AppleEvent #iPhone16"/>
    <n v="12916"/>
    <n v="1262"/>
    <n v="772"/>
    <n v="856"/>
    <n v="11496"/>
    <n v="75046"/>
    <s v="Sustainability Awareness Drive"/>
    <n v="0.13391857392394857"/>
  </r>
  <r>
    <s v="A43"/>
    <x v="3"/>
    <d v="2025-09-16T00:00:00"/>
    <x v="1"/>
    <s v="#MacBookProM3"/>
    <n v="6809"/>
    <n v="397"/>
    <n v="813"/>
    <n v="1125"/>
    <n v="12206"/>
    <n v="218136"/>
    <s v="Apple Event September 2025"/>
    <n v="0.10685446259627429"/>
  </r>
  <r>
    <s v="A44"/>
    <x v="1"/>
    <d v="2025-03-02T00:00:00"/>
    <x v="2"/>
    <s v="#iPhonePhotography #ShotOniPhone"/>
    <n v="22562"/>
    <n v="778"/>
    <n v="907"/>
    <n v="1354"/>
    <n v="34475"/>
    <n v="141459"/>
    <s v="iPhone 16 Launch"/>
    <n v="0.23290684494649683"/>
  </r>
  <r>
    <s v="A45"/>
    <x v="1"/>
    <d v="2025-09-17T00:00:00"/>
    <x v="1"/>
    <s v="#AppleMusic #AppleLifestyle"/>
    <n v="15456"/>
    <n v="590"/>
    <n v="555"/>
    <n v="2882"/>
    <n v="49816"/>
    <n v="240422"/>
    <s v="Apple Event September 2025"/>
    <n v="0.1921122979181373"/>
  </r>
  <r>
    <s v="A46"/>
    <x v="1"/>
    <d v="2025-05-02T00:00:00"/>
    <x v="1"/>
    <s v="#AppleEvent #iPhone16"/>
    <n v="17444"/>
    <n v="1402"/>
    <n v="218"/>
    <n v="725"/>
    <n v="8710"/>
    <n v="85893"/>
    <s v="MacBook Air M3 Campaign"/>
    <n v="0.15685758246459927"/>
  </r>
  <r>
    <s v="A47"/>
    <x v="1"/>
    <d v="2025-02-24T00:00:00"/>
    <x v="1"/>
    <s v="#iPhone16Launch #AppleEvent"/>
    <n v="24984"/>
    <n v="753"/>
    <n v="461"/>
    <n v="2710"/>
    <n v="20792"/>
    <n v="141520"/>
    <s v="Sustainability Awareness Drive"/>
    <n v="0.30093618976509101"/>
  </r>
  <r>
    <s v="A48"/>
    <x v="0"/>
    <d v="2025-03-11T00:00:00"/>
    <x v="3"/>
    <s v="#AppleWatchUltra2 #HealthTech"/>
    <n v="7997"/>
    <n v="1238"/>
    <n v="438"/>
    <n v="1874"/>
    <n v="36272"/>
    <n v="165818"/>
    <s v="MacBook Air M3 Campaign"/>
    <n v="8.7119813385450912E-2"/>
  </r>
  <r>
    <s v="A49"/>
    <x v="3"/>
    <d v="2025-09-18T00:00:00"/>
    <x v="3"/>
    <s v="#AppleEvent #iPhone16"/>
    <n v="4048"/>
    <n v="677"/>
    <n v="911"/>
    <n v="2429"/>
    <n v="27361"/>
    <n v="101272"/>
    <s v="Apple Event September 2025"/>
    <n v="9.4222281663768892E-2"/>
  </r>
  <r>
    <s v="A50"/>
    <x v="3"/>
    <d v="2024-07-03T00:00:00"/>
    <x v="1"/>
    <s v="#AppleMusic #AppleLifestyle"/>
    <n v="14338"/>
    <n v="1454"/>
    <n v="697"/>
    <n v="2703"/>
    <n v="21288"/>
    <n v="107649"/>
    <s v="iPhone 16 Launch"/>
    <n v="0.2085578406819964"/>
  </r>
  <r>
    <s v="A51"/>
    <x v="0"/>
    <d v="2024-06-13T00:00:00"/>
    <x v="3"/>
    <s v="#AppleWatch #Health"/>
    <n v="23164"/>
    <n v="1122"/>
    <n v="900"/>
    <n v="888"/>
    <n v="36938"/>
    <n v="104674"/>
    <s v="Apple Watch Ultra 2 Launch"/>
    <n v="0.34712497932631348"/>
  </r>
  <r>
    <s v="A52"/>
    <x v="3"/>
    <d v="2025-09-19T00:00:00"/>
    <x v="0"/>
    <s v="#AppleWatch #Health"/>
    <n v="19100"/>
    <n v="619"/>
    <n v="297"/>
    <n v="2312"/>
    <n v="9730"/>
    <n v="184832"/>
    <s v="Apple Event September 2025"/>
    <n v="0.49690921278021893"/>
  </r>
  <r>
    <s v="A53"/>
    <x v="0"/>
    <d v="2025-02-24T00:00:00"/>
    <x v="0"/>
    <s v="#AppleEvent #iPhone16"/>
    <n v="23949"/>
    <n v="356"/>
    <n v="616"/>
    <n v="1847"/>
    <n v="3144"/>
    <n v="192999"/>
    <s v="iPhone 16 Launch"/>
    <n v="0.17609525155455058"/>
  </r>
  <r>
    <s v="A54"/>
    <x v="1"/>
    <d v="2025-03-13T00:00:00"/>
    <x v="3"/>
    <s v="#AppleDesign #Innovation"/>
    <n v="6544"/>
    <n v="749"/>
    <n v="888"/>
    <n v="594"/>
    <n v="18171"/>
    <n v="126475"/>
    <s v="Sustainability Awareness Drive"/>
    <n v="0.10695935256971772"/>
  </r>
  <r>
    <s v="A55"/>
    <x v="0"/>
    <d v="2024-06-17T00:00:00"/>
    <x v="3"/>
    <s v="#AppleWatchUltra2 #HealthTech"/>
    <n v="6976"/>
    <n v="1320"/>
    <n v="393"/>
    <n v="2285"/>
    <n v="14049"/>
    <n v="101367"/>
    <s v="MacBook Air M3 Campaign"/>
    <n v="0.1193888346913258"/>
  </r>
  <r>
    <s v="A56"/>
    <x v="1"/>
    <d v="2024-12-18T00:00:00"/>
    <x v="1"/>
    <s v="#iPhone16Launch #AppleEvent"/>
    <n v="14775"/>
    <n v="1220"/>
    <n v="640"/>
    <n v="1547"/>
    <n v="28527"/>
    <n v="183660"/>
    <s v="MacBook Air M3 Campaign"/>
    <n v="0.12995180026404393"/>
  </r>
  <r>
    <s v="A57"/>
    <x v="1"/>
    <d v="2024-10-21T00:00:00"/>
    <x v="2"/>
    <s v="#AppleEvent #iPhone16"/>
    <n v="12015"/>
    <n v="1196"/>
    <n v="998"/>
    <n v="1848"/>
    <n v="44739"/>
    <n v="161750"/>
    <s v="MacBook Air M3 Campaign"/>
    <n v="9.7440047180485934E-2"/>
  </r>
  <r>
    <s v="A58"/>
    <x v="2"/>
    <d v="2025-04-15T00:00:00"/>
    <x v="3"/>
    <s v="#AppleDesign #Innovation"/>
    <n v="5419"/>
    <n v="1150"/>
    <n v="656"/>
    <n v="1990"/>
    <n v="410"/>
    <n v="158154"/>
    <s v="Sustainability Awareness Drive"/>
    <n v="0.1204668611921634"/>
  </r>
  <r>
    <s v="A59"/>
    <x v="0"/>
    <d v="2024-06-22T00:00:00"/>
    <x v="0"/>
    <s v="#AppleWatch #Health"/>
    <n v="16430"/>
    <n v="488"/>
    <n v="514"/>
    <n v="1436"/>
    <n v="30059"/>
    <n v="223305"/>
    <s v="iPhone 16 Launch"/>
    <n v="0.33449102945409193"/>
  </r>
  <r>
    <s v="A60"/>
    <x v="2"/>
    <d v="2025-01-28T00:00:00"/>
    <x v="1"/>
    <s v="#AppleWatch #Health"/>
    <n v="9239"/>
    <n v="1477"/>
    <n v="631"/>
    <n v="1556"/>
    <n v="11580"/>
    <n v="84738"/>
    <s v="Sustainability Awareness Drive"/>
    <n v="0.15188670405718341"/>
  </r>
  <r>
    <s v="A61"/>
    <x v="0"/>
    <d v="2024-09-05T00:00:00"/>
    <x v="3"/>
    <s v="#MacBookProM3"/>
    <n v="16489"/>
    <n v="395"/>
    <n v="350"/>
    <n v="2364"/>
    <n v="43239"/>
    <n v="73397"/>
    <s v="MacBook Air M3 Campaign"/>
    <n v="0.12183035367138181"/>
  </r>
  <r>
    <s v="A62"/>
    <x v="0"/>
    <d v="2025-09-20T00:00:00"/>
    <x v="0"/>
    <s v="#AppleEvent #iPhone16"/>
    <n v="18633"/>
    <n v="797"/>
    <n v="303"/>
    <n v="659"/>
    <n v="7"/>
    <n v="122189"/>
    <s v="Apple Event September 2025"/>
    <n v="0.37738338847558761"/>
  </r>
  <r>
    <s v="A63"/>
    <x v="2"/>
    <d v="2024-07-31T00:00:00"/>
    <x v="0"/>
    <s v="#AppleWatchUltra2 #HealthTech"/>
    <n v="12357"/>
    <n v="716"/>
    <n v="599"/>
    <n v="999"/>
    <n v="89591"/>
    <n v="116367"/>
    <s v="Apple Watch Ultra 2 Launch"/>
    <n v="9.6706654594839292E-2"/>
  </r>
  <r>
    <s v="A64"/>
    <x v="2"/>
    <d v="2024-08-17T00:00:00"/>
    <x v="2"/>
    <s v="#ShotOniPhone"/>
    <n v="19154"/>
    <n v="1064"/>
    <n v="650"/>
    <n v="747"/>
    <n v="42667"/>
    <n v="242332"/>
    <s v="Sustainability Awareness Drive"/>
    <n v="0.2218560295978142"/>
  </r>
  <r>
    <s v="A65"/>
    <x v="0"/>
    <d v="2025-03-28T00:00:00"/>
    <x v="1"/>
    <s v="#AppleWatchUltra2 #HealthTech"/>
    <n v="6363"/>
    <n v="1341"/>
    <n v="222"/>
    <n v="2712"/>
    <n v="19987"/>
    <n v="160585"/>
    <s v="Sustainability Awareness Drive"/>
    <n v="6.1369549058473735E-2"/>
  </r>
  <r>
    <s v="A66"/>
    <x v="3"/>
    <d v="2024-07-26T00:00:00"/>
    <x v="1"/>
    <s v="#AppleWatch #Health"/>
    <n v="12176"/>
    <n v="1005"/>
    <n v="862"/>
    <n v="974"/>
    <n v="2285"/>
    <n v="116619"/>
    <s v="iPhone 16 Launch"/>
    <n v="9.4339495888644057E-2"/>
  </r>
  <r>
    <s v="A67"/>
    <x v="1"/>
    <d v="2025-03-29T00:00:00"/>
    <x v="2"/>
    <s v="#AppleWatch #Health"/>
    <n v="19461"/>
    <n v="1382"/>
    <n v="445"/>
    <n v="1307"/>
    <n v="84691"/>
    <n v="151453"/>
    <s v="iPhone 16 Launch"/>
    <n v="0.18105735864462136"/>
  </r>
  <r>
    <s v="A68"/>
    <x v="2"/>
    <d v="2024-12-08T00:00:00"/>
    <x v="2"/>
    <s v="#MacBookAirM3 #AppleInnovation"/>
    <n v="10427"/>
    <n v="1014"/>
    <n v="166"/>
    <n v="1649"/>
    <n v="15145"/>
    <n v="59816"/>
    <s v="Sustainability Awareness Drive"/>
    <n v="0.10309269193875013"/>
  </r>
  <r>
    <s v="A69"/>
    <x v="1"/>
    <d v="2025-03-08T00:00:00"/>
    <x v="1"/>
    <s v="#AppleWatch #Health"/>
    <n v="10580"/>
    <n v="427"/>
    <n v="790"/>
    <n v="2814"/>
    <n v="24916"/>
    <n v="213312"/>
    <s v="MacBook Air M3 Campaign"/>
    <n v="9.6547152362323946E-2"/>
  </r>
  <r>
    <s v="A70"/>
    <x v="3"/>
    <d v="2025-04-02T00:00:00"/>
    <x v="1"/>
    <s v="#iPhone16Launch #AppleEvent"/>
    <n v="6858"/>
    <n v="415"/>
    <n v="366"/>
    <n v="2761"/>
    <n v="2988"/>
    <n v="177348"/>
    <s v="Apple Watch Ultra 2 Launch"/>
    <n v="5.1683660006901076E-2"/>
  </r>
  <r>
    <s v="A71"/>
    <x v="3"/>
    <d v="2024-09-02T00:00:00"/>
    <x v="3"/>
    <s v="#AppleEvent #iPadPro"/>
    <n v="12040"/>
    <n v="1147"/>
    <n v="210"/>
    <n v="885"/>
    <n v="30360"/>
    <n v="119530"/>
    <s v="iPhone 16 Launch"/>
    <n v="0.17553491175430092"/>
  </r>
  <r>
    <s v="A72"/>
    <x v="3"/>
    <d v="2025-03-03T00:00:00"/>
    <x v="3"/>
    <s v="#AppleEvent #iPhone16"/>
    <n v="24928"/>
    <n v="214"/>
    <n v="765"/>
    <n v="1556"/>
    <n v="5239"/>
    <n v="194571"/>
    <s v="MacBook Air M3 Campaign"/>
    <n v="0.24066178041598157"/>
  </r>
  <r>
    <s v="A73"/>
    <x v="2"/>
    <d v="2025-09-21T00:00:00"/>
    <x v="2"/>
    <s v="#AppleWatchUltra2 #HealthTech"/>
    <n v="23103"/>
    <n v="1380"/>
    <n v="191"/>
    <n v="1547"/>
    <n v="77798"/>
    <n v="148856"/>
    <s v="Apple Event September 2025"/>
    <n v="0.58791012413924559"/>
  </r>
  <r>
    <s v="A74"/>
    <x v="3"/>
    <d v="2024-10-28T00:00:00"/>
    <x v="3"/>
    <s v="#AppleEvent #iPadPro"/>
    <n v="21198"/>
    <n v="1484"/>
    <n v="174"/>
    <n v="1293"/>
    <n v="16330"/>
    <n v="111635"/>
    <s v="iPhone 16 Launch"/>
    <n v="0.16524360707649818"/>
  </r>
  <r>
    <s v="A75"/>
    <x v="2"/>
    <d v="2024-08-01T00:00:00"/>
    <x v="0"/>
    <s v="#AppleDesign #Innovation"/>
    <n v="21758"/>
    <n v="1380"/>
    <n v="188"/>
    <n v="1735"/>
    <n v="20998"/>
    <n v="147803"/>
    <s v="MacBook Air M3 Campaign"/>
    <n v="0.24501071383555312"/>
  </r>
  <r>
    <s v="A76"/>
    <x v="3"/>
    <d v="2024-11-07T00:00:00"/>
    <x v="3"/>
    <s v="#ShotOniPhone"/>
    <n v="17254"/>
    <n v="246"/>
    <n v="952"/>
    <n v="871"/>
    <n v="14957"/>
    <n v="75946"/>
    <s v="MacBook Air M3 Campaign"/>
    <n v="0.18883294445126694"/>
  </r>
  <r>
    <s v="A77"/>
    <x v="1"/>
    <d v="2025-03-04T00:00:00"/>
    <x v="3"/>
    <s v="#iPhone16Launch #AppleEvent"/>
    <n v="13470"/>
    <n v="523"/>
    <n v="280"/>
    <n v="2682"/>
    <n v="8538"/>
    <n v="95204"/>
    <s v="Apple Watch Ultra 2 Launch"/>
    <n v="8.9613431027229976E-2"/>
  </r>
  <r>
    <s v="A78"/>
    <x v="1"/>
    <d v="2024-06-17T00:00:00"/>
    <x v="0"/>
    <s v="#AppleMusic #AppleLifestyle"/>
    <n v="3252"/>
    <n v="1043"/>
    <n v="647"/>
    <n v="1545"/>
    <n v="18859"/>
    <n v="222958"/>
    <s v="Apple Watch Ultra 2 Launch"/>
    <n v="4.9827589683611943E-2"/>
  </r>
  <r>
    <s v="A79"/>
    <x v="0"/>
    <d v="2025-09-22T00:00:00"/>
    <x v="2"/>
    <s v="#Sustainability #AppleEarth"/>
    <n v="8996"/>
    <n v="329"/>
    <n v="378"/>
    <n v="2384"/>
    <n v="39404"/>
    <n v="242724"/>
    <s v="Apple Event September 2025"/>
    <n v="5.3824221176888259E-2"/>
  </r>
  <r>
    <s v="A80"/>
    <x v="1"/>
    <d v="2024-06-13T00:00:00"/>
    <x v="0"/>
    <s v="#AppleWatchUltra2 #HealthTech"/>
    <n v="14173"/>
    <n v="294"/>
    <n v="257"/>
    <n v="1288"/>
    <n v="39466"/>
    <n v="55563"/>
    <s v="MacBook Air M3 Campaign"/>
    <n v="0.12402917937227285"/>
  </r>
  <r>
    <s v="A81"/>
    <x v="0"/>
    <d v="2024-10-19T00:00:00"/>
    <x v="3"/>
    <s v="#AppleEvent #iPadPro"/>
    <n v="6673"/>
    <n v="826"/>
    <n v="321"/>
    <n v="577"/>
    <n v="19262"/>
    <n v="132324"/>
    <s v="MacBook Air M3 Campaign"/>
    <n v="8.6755863231933253E-2"/>
  </r>
  <r>
    <s v="A82"/>
    <x v="1"/>
    <d v="2024-07-24T00:00:00"/>
    <x v="2"/>
    <s v="#AppleMusic #AppleLifestyle"/>
    <n v="22914"/>
    <n v="954"/>
    <n v="584"/>
    <n v="1519"/>
    <n v="13637"/>
    <n v="49847"/>
    <s v="Apple Watch Ultra 2 Launch"/>
    <n v="0.20060875058454825"/>
  </r>
  <r>
    <s v="A83"/>
    <x v="2"/>
    <d v="2024-10-15T00:00:00"/>
    <x v="3"/>
    <s v="#ShotOniPhone"/>
    <n v="17781"/>
    <n v="993"/>
    <n v="627"/>
    <n v="2187"/>
    <n v="9609"/>
    <n v="66155"/>
    <s v="iPhone 16 Launch"/>
    <n v="0.41748617417314021"/>
  </r>
  <r>
    <s v="A84"/>
    <x v="1"/>
    <d v="2024-12-09T00:00:00"/>
    <x v="0"/>
    <s v="#MacBookAirM3 #AppleInnovation"/>
    <n v="15051"/>
    <n v="268"/>
    <n v="251"/>
    <n v="783"/>
    <n v="34154"/>
    <n v="119671"/>
    <s v="iPhone 16 Launch"/>
    <n v="0.10280417027064502"/>
  </r>
  <r>
    <s v="A85"/>
    <x v="0"/>
    <d v="2025-04-19T00:00:00"/>
    <x v="0"/>
    <s v="#AppleMusic #AppleLifestyle"/>
    <n v="8881"/>
    <n v="210"/>
    <n v="673"/>
    <n v="1565"/>
    <n v="24847"/>
    <n v="156891"/>
    <s v="Sustainability Awareness Drive"/>
    <n v="0.14417553859102519"/>
  </r>
  <r>
    <s v="A86"/>
    <x v="0"/>
    <d v="2025-01-27T00:00:00"/>
    <x v="3"/>
    <s v="#iPhone16Launch #AppleEvent"/>
    <n v="8949"/>
    <n v="1477"/>
    <n v="424"/>
    <n v="1030"/>
    <n v="58052"/>
    <n v="123310"/>
    <s v="Apple Watch Ultra 2 Launch"/>
    <n v="7.0434421334164263E-2"/>
  </r>
  <r>
    <s v="A87"/>
    <x v="3"/>
    <d v="2024-06-06T00:00:00"/>
    <x v="1"/>
    <s v="#iPhone16Launch #AppleEvent"/>
    <n v="11521"/>
    <n v="1071"/>
    <n v="762"/>
    <n v="2539"/>
    <n v="12701"/>
    <n v="238350"/>
    <s v="Sustainability Awareness Drive"/>
    <n v="7.0513937512210828E-2"/>
  </r>
  <r>
    <s v="A88"/>
    <x v="2"/>
    <d v="2024-07-07T00:00:00"/>
    <x v="1"/>
    <s v="#MacBookAirM3 #AppleInnovation"/>
    <n v="24625"/>
    <n v="749"/>
    <n v="193"/>
    <n v="1340"/>
    <n v="4890"/>
    <n v="189381"/>
    <s v="Apple Watch Ultra 2 Launch"/>
    <n v="0.1879111267905835"/>
  </r>
  <r>
    <s v="A89"/>
    <x v="1"/>
    <d v="2025-09-23T00:00:00"/>
    <x v="0"/>
    <s v="#Sustainability #AppleEarth"/>
    <n v="10017"/>
    <n v="1357"/>
    <n v="966"/>
    <n v="2871"/>
    <n v="14800"/>
    <n v="171691"/>
    <s v="Apple Event September 2025"/>
    <n v="8.2174083865511519E-2"/>
  </r>
  <r>
    <s v="A90"/>
    <x v="3"/>
    <d v="2024-06-03T00:00:00"/>
    <x v="0"/>
    <s v="#AppleEvent #iPhone16"/>
    <n v="8941"/>
    <n v="911"/>
    <n v="166"/>
    <n v="1217"/>
    <n v="68817"/>
    <n v="221180"/>
    <s v="MacBook Air M3 Campaign"/>
    <n v="0.1182232292477991"/>
  </r>
  <r>
    <s v="A91"/>
    <x v="1"/>
    <d v="2025-09-24T00:00:00"/>
    <x v="1"/>
    <s v="#AppleMusic #AppleLifestyle"/>
    <n v="12209"/>
    <n v="222"/>
    <n v="479"/>
    <n v="2748"/>
    <n v="24615"/>
    <n v="74707"/>
    <s v="Apple Event September 2025"/>
    <n v="7.8074918054598014E-2"/>
  </r>
  <r>
    <s v="A92"/>
    <x v="1"/>
    <d v="2024-10-21T00:00:00"/>
    <x v="1"/>
    <s v="#MacBookAirM3 #AppleInnovation"/>
    <n v="19715"/>
    <n v="1014"/>
    <n v="718"/>
    <n v="1185"/>
    <n v="37625"/>
    <n v="191409"/>
    <s v="Apple Watch Ultra 2 Launch"/>
    <n v="0.11022711503769832"/>
  </r>
  <r>
    <s v="A93"/>
    <x v="3"/>
    <d v="2024-12-11T00:00:00"/>
    <x v="3"/>
    <s v="#iPhone16Launch #AppleEvent"/>
    <n v="22645"/>
    <n v="545"/>
    <n v="972"/>
    <n v="321"/>
    <n v="8396"/>
    <n v="121537"/>
    <s v="MacBook Air M3 Campaign"/>
    <n v="0.18065451935370513"/>
  </r>
  <r>
    <s v="A94"/>
    <x v="3"/>
    <d v="2024-11-07T00:00:00"/>
    <x v="3"/>
    <s v="#iPhone16Launch #AppleEvent"/>
    <n v="11550"/>
    <n v="501"/>
    <n v="646"/>
    <n v="773"/>
    <n v="17841"/>
    <n v="237576"/>
    <s v="iPhone 16 Launch"/>
    <n v="0.19232924852689459"/>
  </r>
  <r>
    <s v="A95"/>
    <x v="3"/>
    <d v="2024-11-08T00:00:00"/>
    <x v="1"/>
    <s v="#AppleEvent #iPadPro"/>
    <n v="23499"/>
    <n v="562"/>
    <n v="964"/>
    <n v="2557"/>
    <n v="56890"/>
    <n v="218686"/>
    <s v="iPhone 16 Launch"/>
    <n v="0.14538430256201709"/>
  </r>
  <r>
    <s v="A96"/>
    <x v="3"/>
    <d v="2024-09-10T00:00:00"/>
    <x v="3"/>
    <s v="#AppleWatch #Health"/>
    <n v="6637"/>
    <n v="595"/>
    <n v="161"/>
    <n v="2653"/>
    <n v="19334"/>
    <n v="131155"/>
    <s v="Sustainability Awareness Drive"/>
    <n v="4.6237749466824275E-2"/>
  </r>
  <r>
    <s v="A97"/>
    <x v="3"/>
    <d v="2024-08-13T00:00:00"/>
    <x v="3"/>
    <s v="#Sustainability #AppleEarth"/>
    <n v="6854"/>
    <n v="417"/>
    <n v="467"/>
    <n v="1003"/>
    <n v="61333"/>
    <n v="40281"/>
    <s v="Apple Watch Ultra 2 Launch"/>
    <n v="3.8130999546646165E-2"/>
  </r>
  <r>
    <s v="A98"/>
    <x v="1"/>
    <d v="2024-06-10T00:00:00"/>
    <x v="2"/>
    <s v="#AppleMusic #AppleLifestyle"/>
    <n v="21561"/>
    <n v="340"/>
    <n v="741"/>
    <n v="986"/>
    <n v="24826"/>
    <n v="198492"/>
    <s v="Apple Watch Ultra 2 Launch"/>
    <n v="0.18920206232086303"/>
  </r>
  <r>
    <s v="A99"/>
    <x v="3"/>
    <d v="2024-07-02T00:00:00"/>
    <x v="3"/>
    <s v="#AppleMusic #AppleLifestyle"/>
    <n v="12320"/>
    <n v="1157"/>
    <n v="365"/>
    <n v="584"/>
    <n v="66634"/>
    <n v="210102"/>
    <s v="iPhone 16 Launch"/>
    <n v="7.1720578863102916E-2"/>
  </r>
  <r>
    <s v="A100"/>
    <x v="2"/>
    <d v="2025-09-25T00:00:00"/>
    <x v="0"/>
    <s v="#ShotOniPhone"/>
    <n v="20564"/>
    <n v="1433"/>
    <n v="488"/>
    <n v="1015"/>
    <n v="24333"/>
    <n v="172130"/>
    <s v="Apple Event September 2025"/>
    <n v="0.11574217060967323"/>
  </r>
  <r>
    <s v="A101"/>
    <x v="0"/>
    <d v="2024-10-18T00:00:00"/>
    <x v="3"/>
    <s v="#MacBookAirM3 #AppleInnovation"/>
    <n v="6892"/>
    <n v="1184"/>
    <n v="925"/>
    <n v="1062"/>
    <n v="75008"/>
    <n v="116260"/>
    <s v="MacBook Air M3 Campaign"/>
    <n v="0.15580211867340579"/>
  </r>
  <r>
    <s v="A102"/>
    <x v="3"/>
    <d v="2025-09-26T00:00:00"/>
    <x v="3"/>
    <s v="#ShotOniPhone"/>
    <n v="9043"/>
    <n v="1192"/>
    <n v="810"/>
    <n v="1550"/>
    <n v="5221"/>
    <n v="199476"/>
    <s v="Apple Event September 2025"/>
    <n v="6.8236718706560492E-2"/>
  </r>
  <r>
    <s v="A103"/>
    <x v="3"/>
    <d v="2025-09-27T00:00:00"/>
    <x v="1"/>
    <s v="#MacBookAirM3 #AppleInnovation"/>
    <n v="18521"/>
    <n v="1027"/>
    <n v="230"/>
    <n v="1247"/>
    <n v="39588"/>
    <n v="200928"/>
    <s v="Apple Event September 2025"/>
    <n v="0.14077469500476888"/>
  </r>
  <r>
    <s v="A104"/>
    <x v="1"/>
    <d v="2025-03-23T00:00:00"/>
    <x v="0"/>
    <s v="#AppleDesign #Innovation"/>
    <n v="24711"/>
    <n v="882"/>
    <n v="876"/>
    <n v="2728"/>
    <n v="32015"/>
    <n v="180272"/>
    <s v="iPhone 16 Launch"/>
    <n v="0.13382036957455951"/>
  </r>
  <r>
    <s v="A105"/>
    <x v="3"/>
    <d v="2024-06-14T00:00:00"/>
    <x v="3"/>
    <s v="#iPhone16Launch #AppleEvent"/>
    <n v="21856"/>
    <n v="1203"/>
    <n v="634"/>
    <n v="2807"/>
    <n v="3647"/>
    <n v="104178"/>
    <s v="iPhone 16 Launch"/>
    <n v="0.14625398922215568"/>
  </r>
  <r>
    <s v="A106"/>
    <x v="3"/>
    <d v="2025-02-04T00:00:00"/>
    <x v="3"/>
    <s v="#AppleWatch #Health"/>
    <n v="23833"/>
    <n v="555"/>
    <n v="523"/>
    <n v="1330"/>
    <n v="69141"/>
    <n v="73997"/>
    <s v="iPhone 16 Launch"/>
    <n v="0.14798467341907506"/>
  </r>
  <r>
    <s v="A107"/>
    <x v="3"/>
    <d v="2024-06-21T00:00:00"/>
    <x v="2"/>
    <s v="#AppleEvent #iPadPro"/>
    <n v="21216"/>
    <n v="1207"/>
    <n v="859"/>
    <n v="328"/>
    <n v="91296"/>
    <n v="196683"/>
    <s v="Sustainability Awareness Drive"/>
    <n v="0.13249487821534259"/>
  </r>
  <r>
    <s v="A108"/>
    <x v="1"/>
    <d v="2025-09-28T00:00:00"/>
    <x v="3"/>
    <s v="#AppleWatch #Health"/>
    <n v="21963"/>
    <n v="1356"/>
    <n v="349"/>
    <n v="1206"/>
    <n v="51755"/>
    <n v="159273"/>
    <s v="Apple Event September 2025"/>
    <n v="0.26798007246376809"/>
  </r>
  <r>
    <s v="A109"/>
    <x v="3"/>
    <d v="2024-08-08T00:00:00"/>
    <x v="3"/>
    <s v="#AppleWatch #Health"/>
    <n v="24355"/>
    <n v="1087"/>
    <n v="686"/>
    <n v="2426"/>
    <n v="24963"/>
    <n v="212307"/>
    <s v="Apple Watch Ultra 2 Launch"/>
    <n v="0.12544651430766277"/>
  </r>
  <r>
    <s v="A110"/>
    <x v="0"/>
    <d v="2024-07-29T00:00:00"/>
    <x v="2"/>
    <s v="#AppleWatch #Health"/>
    <n v="6164"/>
    <n v="326"/>
    <n v="615"/>
    <n v="2806"/>
    <n v="38579"/>
    <n v="206129"/>
    <s v="MacBook Air M3 Campaign"/>
    <n v="3.3465688837391136E-2"/>
  </r>
  <r>
    <s v="A111"/>
    <x v="1"/>
    <d v="2024-11-23T00:00:00"/>
    <x v="1"/>
    <s v="#ShotOniPhone"/>
    <n v="9941"/>
    <n v="1329"/>
    <n v="238"/>
    <n v="869"/>
    <n v="40281"/>
    <n v="172311"/>
    <s v="Sustainability Awareness Drive"/>
    <n v="7.6804997530600536E-2"/>
  </r>
  <r>
    <s v="A112"/>
    <x v="0"/>
    <d v="2024-10-05T00:00:00"/>
    <x v="3"/>
    <s v="#MacBookAirM3 #AppleInnovation"/>
    <n v="16388"/>
    <n v="1208"/>
    <n v="417"/>
    <n v="2306"/>
    <n v="16865"/>
    <n v="236733"/>
    <s v="Apple Watch Ultra 2 Launch"/>
    <n v="0.15446025090251159"/>
  </r>
  <r>
    <s v="A113"/>
    <x v="1"/>
    <d v="2025-09-29T00:00:00"/>
    <x v="2"/>
    <s v="#iPhonePhotography #ShotOniPhone"/>
    <n v="7569"/>
    <n v="803"/>
    <n v="804"/>
    <n v="1753"/>
    <n v="43582"/>
    <n v="166945"/>
    <s v="Apple Event September 2025"/>
    <n v="0.22284284916336791"/>
  </r>
  <r>
    <s v="A114"/>
    <x v="3"/>
    <d v="2024-11-14T00:00:00"/>
    <x v="0"/>
    <s v="#AppleDesign #Innovation"/>
    <n v="6300"/>
    <n v="1213"/>
    <n v="720"/>
    <n v="1037"/>
    <n v="39569"/>
    <n v="85272"/>
    <s v="iPhone 16 Launch"/>
    <n v="4.5080710515364567E-2"/>
  </r>
  <r>
    <s v="A115"/>
    <x v="0"/>
    <d v="2025-09-30T00:00:00"/>
    <x v="1"/>
    <s v="#AppleWatchUltra2 #HealthTech"/>
    <n v="8269"/>
    <n v="250"/>
    <n v="638"/>
    <n v="815"/>
    <n v="41991"/>
    <n v="129393"/>
    <s v="Apple Event September 2025"/>
    <n v="4.6557150338361726E-2"/>
  </r>
  <r>
    <s v="A116"/>
    <x v="1"/>
    <d v="2025-03-18T00:00:00"/>
    <x v="0"/>
    <s v="#AppleWatch #Health"/>
    <n v="5818"/>
    <n v="1252"/>
    <n v="687"/>
    <n v="2300"/>
    <n v="25081"/>
    <n v="101212"/>
    <s v="MacBook Air M3 Campaign"/>
    <n v="6.6659791865391393E-2"/>
  </r>
  <r>
    <s v="A117"/>
    <x v="2"/>
    <d v="2024-11-04T00:00:00"/>
    <x v="0"/>
    <s v="#AppleEvent #iPhone16"/>
    <n v="14015"/>
    <n v="978"/>
    <n v="196"/>
    <n v="2744"/>
    <n v="20190"/>
    <n v="186470"/>
    <s v="Sustainability Awareness Drive"/>
    <n v="9.0968982266169174E-2"/>
  </r>
  <r>
    <s v="A118"/>
    <x v="3"/>
    <d v="2024-11-04T00:00:00"/>
    <x v="2"/>
    <s v="#ShotOniPhone"/>
    <n v="14234"/>
    <n v="1013"/>
    <n v="437"/>
    <n v="338"/>
    <n v="67754"/>
    <n v="160030"/>
    <s v="Sustainability Awareness Drive"/>
    <n v="0.1977556424158366"/>
  </r>
  <r>
    <s v="A119"/>
    <x v="1"/>
    <d v="2025-02-07T00:00:00"/>
    <x v="3"/>
    <s v="#Sustainability #AppleEarth"/>
    <n v="20290"/>
    <n v="619"/>
    <n v="927"/>
    <n v="1186"/>
    <n v="8924"/>
    <n v="96503"/>
    <s v="MacBook Air M3 Campaign"/>
    <n v="9.9850927814309098E-2"/>
  </r>
  <r>
    <s v="A120"/>
    <x v="2"/>
    <d v="2024-10-21T00:00:00"/>
    <x v="2"/>
    <s v="#AppleEvent #iPadPro"/>
    <n v="8254"/>
    <n v="1405"/>
    <n v="165"/>
    <n v="2504"/>
    <n v="8081"/>
    <n v="177710"/>
    <s v="Apple Watch Ultra 2 Launch"/>
    <n v="6.5199068205499186E-2"/>
  </r>
  <r>
    <s v="A121"/>
    <x v="1"/>
    <d v="2024-07-29T00:00:00"/>
    <x v="2"/>
    <s v="#AppleWatchUltra2 #HealthTech"/>
    <n v="19144"/>
    <n v="1182"/>
    <n v="860"/>
    <n v="1398"/>
    <n v="4185"/>
    <n v="46570"/>
    <s v="Apple Watch Ultra 2 Launch"/>
    <n v="0.10673478024303247"/>
  </r>
  <r>
    <s v="A122"/>
    <x v="2"/>
    <d v="2024-10-02T00:00:00"/>
    <x v="2"/>
    <s v="#iPhonePhotography #ShotOniPhone"/>
    <n v="9350"/>
    <n v="1024"/>
    <n v="550"/>
    <n v="2123"/>
    <n v="53916"/>
    <n v="108785"/>
    <s v="Sustainability Awareness Drive"/>
    <n v="5.3822883101270189E-2"/>
  </r>
  <r>
    <s v="A123"/>
    <x v="3"/>
    <d v="2024-06-14T00:00:00"/>
    <x v="2"/>
    <s v="#AppleEvent #iPhone16"/>
    <n v="17183"/>
    <n v="1224"/>
    <n v="943"/>
    <n v="2010"/>
    <n v="21481"/>
    <n v="49110"/>
    <s v="Sustainability Awareness Drive"/>
    <n v="0.10595018424928682"/>
  </r>
  <r>
    <s v="A124"/>
    <x v="0"/>
    <d v="2025-04-06T00:00:00"/>
    <x v="1"/>
    <s v="#iPhonePhotography #ShotOniPhone"/>
    <n v="8238"/>
    <n v="766"/>
    <n v="235"/>
    <n v="1273"/>
    <n v="4706"/>
    <n v="119141"/>
    <s v="iPhone 16 Launch"/>
    <n v="6.4132554959357491E-2"/>
  </r>
  <r>
    <s v="A125"/>
    <x v="2"/>
    <d v="2024-09-08T00:00:00"/>
    <x v="3"/>
    <s v="#AppleWatchUltra2 #HealthTech"/>
    <n v="8090"/>
    <n v="570"/>
    <n v="399"/>
    <n v="1862"/>
    <n v="34088"/>
    <n v="52115"/>
    <s v="Apple Watch Ultra 2 Launch"/>
    <n v="4.4906335664820975E-2"/>
  </r>
  <r>
    <s v="A126"/>
    <x v="1"/>
    <d v="2025-03-28T00:00:00"/>
    <x v="0"/>
    <s v="#AppleWatch #Health"/>
    <n v="13637"/>
    <n v="1135"/>
    <n v="540"/>
    <n v="1288"/>
    <n v="45183"/>
    <n v="79062"/>
    <s v="MacBook Air M3 Campaign"/>
    <n v="0.10651529696564965"/>
  </r>
  <r>
    <s v="A127"/>
    <x v="3"/>
    <d v="2025-01-27T00:00:00"/>
    <x v="0"/>
    <s v="#AppleEvent #iPhone16"/>
    <n v="24415"/>
    <n v="860"/>
    <n v="931"/>
    <n v="320"/>
    <n v="65049"/>
    <n v="62911"/>
    <s v="Apple Watch Ultra 2 Launch"/>
    <n v="0.2192420312892161"/>
  </r>
  <r>
    <s v="A128"/>
    <x v="2"/>
    <d v="2025-01-10T00:00:00"/>
    <x v="3"/>
    <s v="#iPhonePhotography #ShotOniPhone"/>
    <n v="14647"/>
    <n v="1168"/>
    <n v="484"/>
    <n v="2650"/>
    <n v="27217"/>
    <n v="144061"/>
    <s v="iPhone 16 Launch"/>
    <n v="8.5152735764775944E-2"/>
  </r>
  <r>
    <s v="A129"/>
    <x v="1"/>
    <d v="2024-07-21T00:00:00"/>
    <x v="0"/>
    <s v="#AppleEvent #iPadPro"/>
    <n v="11911"/>
    <n v="1360"/>
    <n v="778"/>
    <n v="1168"/>
    <n v="16483"/>
    <n v="72556"/>
    <s v="Sustainability Awareness Drive"/>
    <n v="6.7967083206339526E-2"/>
  </r>
  <r>
    <s v="A130"/>
    <x v="1"/>
    <d v="2024-09-29T00:00:00"/>
    <x v="3"/>
    <s v="#MacBookAirM3 #AppleInnovation"/>
    <n v="10472"/>
    <n v="401"/>
    <n v="668"/>
    <n v="383"/>
    <n v="37571"/>
    <n v="249203"/>
    <s v="Sustainability Awareness Drive"/>
    <n v="6.9314066413217773E-2"/>
  </r>
  <r>
    <s v="A131"/>
    <x v="1"/>
    <d v="2024-10-21T00:00:00"/>
    <x v="0"/>
    <s v="#iPhone16Launch #AppleEvent"/>
    <n v="20271"/>
    <n v="512"/>
    <n v="286"/>
    <n v="1982"/>
    <n v="43225"/>
    <n v="168335"/>
    <s v="iPhone 16 Launch"/>
    <n v="0.10911661582602661"/>
  </r>
  <r>
    <s v="A132"/>
    <x v="2"/>
    <d v="2025-03-04T00:00:00"/>
    <x v="2"/>
    <s v="#MacBookAirM3 #AppleInnovation"/>
    <n v="5266"/>
    <n v="316"/>
    <n v="837"/>
    <n v="2276"/>
    <n v="20967"/>
    <n v="41969"/>
    <s v="MacBook Air M3 Campaign"/>
    <n v="3.4390754839297294E-2"/>
  </r>
  <r>
    <s v="A133"/>
    <x v="2"/>
    <d v="2025-02-06T00:00:00"/>
    <x v="0"/>
    <s v="#AppleWatchUltra2 #HealthTech"/>
    <n v="2666"/>
    <n v="1136"/>
    <n v="989"/>
    <n v="1710"/>
    <n v="36467"/>
    <n v="83753"/>
    <s v="Sustainability Awareness Drive"/>
    <n v="2.3858848839178111E-2"/>
  </r>
  <r>
    <s v="A134"/>
    <x v="2"/>
    <d v="2025-10-01T00:00:00"/>
    <x v="3"/>
    <s v="#ShotOniPhone"/>
    <n v="6188"/>
    <n v="774"/>
    <n v="647"/>
    <n v="1830"/>
    <n v="55436"/>
    <n v="175542"/>
    <s v="Apple Event September 2025"/>
    <n v="3.8299692958171844E-2"/>
  </r>
  <r>
    <s v="A135"/>
    <x v="0"/>
    <d v="2024-11-28T00:00:00"/>
    <x v="3"/>
    <s v="#iPhone16Launch #AppleEvent"/>
    <n v="19055"/>
    <n v="443"/>
    <n v="976"/>
    <n v="869"/>
    <n v="75437"/>
    <n v="161863"/>
    <s v="Sustainability Awareness Drive"/>
    <n v="9.513454237933934E-2"/>
  </r>
  <r>
    <s v="A136"/>
    <x v="2"/>
    <d v="2025-10-02T00:00:00"/>
    <x v="3"/>
    <s v="#AppleDesign #Innovation"/>
    <n v="12161"/>
    <n v="736"/>
    <n v="876"/>
    <n v="1233"/>
    <n v="21337"/>
    <n v="50225"/>
    <s v="Apple Event September 2025"/>
    <n v="6.5987294104119354E-2"/>
  </r>
  <r>
    <s v="A137"/>
    <x v="2"/>
    <d v="2024-07-31T00:00:00"/>
    <x v="3"/>
    <s v="#AppleEvent #iPadPro"/>
    <n v="13314"/>
    <n v="274"/>
    <n v="626"/>
    <n v="2280"/>
    <n v="14639"/>
    <n v="163008"/>
    <s v="iPhone 16 Launch"/>
    <n v="5.9997467392680762E-2"/>
  </r>
  <r>
    <s v="A138"/>
    <x v="2"/>
    <d v="2025-03-29T00:00:00"/>
    <x v="3"/>
    <s v="#AppleDesign #Innovation"/>
    <n v="23508"/>
    <n v="585"/>
    <n v="743"/>
    <n v="2155"/>
    <n v="3704"/>
    <n v="194268"/>
    <s v="iPhone 16 Launch"/>
    <n v="0.23806602507572563"/>
  </r>
  <r>
    <s v="A139"/>
    <x v="0"/>
    <d v="2024-10-29T00:00:00"/>
    <x v="1"/>
    <s v="#AppleEvent #iPhone16"/>
    <n v="23969"/>
    <n v="1433"/>
    <n v="372"/>
    <n v="1092"/>
    <n v="32147"/>
    <n v="145823"/>
    <s v="Sustainability Awareness Drive"/>
    <n v="0.13083580801543188"/>
  </r>
  <r>
    <s v="A140"/>
    <x v="2"/>
    <d v="2024-07-15T00:00:00"/>
    <x v="1"/>
    <s v="#AppleMusic #AppleLifestyle"/>
    <n v="14891"/>
    <n v="674"/>
    <n v="521"/>
    <n v="1091"/>
    <n v="18101"/>
    <n v="53669"/>
    <s v="Apple Watch Ultra 2 Launch"/>
    <n v="8.7030384349030473E-2"/>
  </r>
  <r>
    <s v="A141"/>
    <x v="1"/>
    <d v="2025-10-03T00:00:00"/>
    <x v="0"/>
    <s v="#iPhone16Launch #AppleEvent"/>
    <n v="6777"/>
    <n v="617"/>
    <n v="551"/>
    <n v="2109"/>
    <n v="18559"/>
    <n v="208452"/>
    <s v="Apple Event September 2025"/>
    <n v="6.0310013967328595E-2"/>
  </r>
  <r>
    <s v="A142"/>
    <x v="2"/>
    <d v="2025-03-25T00:00:00"/>
    <x v="3"/>
    <s v="#AppleDesign #Innovation"/>
    <n v="5900"/>
    <n v="546"/>
    <n v="592"/>
    <n v="1594"/>
    <n v="38627"/>
    <n v="164398"/>
    <s v="MacBook Air M3 Campaign"/>
    <n v="3.1819229882407193E-2"/>
  </r>
  <r>
    <s v="A143"/>
    <x v="1"/>
    <d v="2024-10-02T00:00:00"/>
    <x v="0"/>
    <s v="#AppleDesign #Innovation"/>
    <n v="15716"/>
    <n v="839"/>
    <n v="639"/>
    <n v="2839"/>
    <n v="349"/>
    <n v="150677"/>
    <s v="Sustainability Awareness Drive"/>
    <n v="7.0611329681070381E-2"/>
  </r>
  <r>
    <s v="A144"/>
    <x v="1"/>
    <d v="2024-10-28T00:00:00"/>
    <x v="3"/>
    <s v="#iPhonePhotography #ShotOniPhone"/>
    <n v="8981"/>
    <n v="1138"/>
    <n v="764"/>
    <n v="2555"/>
    <n v="92810"/>
    <n v="88320"/>
    <s v="MacBook Air M3 Campaign"/>
    <n v="6.8655530041131493E-2"/>
  </r>
  <r>
    <s v="A145"/>
    <x v="1"/>
    <d v="2024-08-12T00:00:00"/>
    <x v="3"/>
    <s v="#MacBookAirM3 #AppleInnovation"/>
    <n v="8376"/>
    <n v="1154"/>
    <n v="422"/>
    <n v="1907"/>
    <n v="36874"/>
    <n v="218486"/>
    <s v="Sustainability Awareness Drive"/>
    <n v="5.1427537916957339E-2"/>
  </r>
  <r>
    <s v="A146"/>
    <x v="0"/>
    <d v="2024-06-05T00:00:00"/>
    <x v="1"/>
    <s v="#iPhonePhotography #ShotOniPhone"/>
    <n v="18907"/>
    <n v="1075"/>
    <n v="675"/>
    <n v="1383"/>
    <n v="17875"/>
    <n v="186649"/>
    <s v="Apple Watch Ultra 2 Launch"/>
    <n v="0.13344918697873934"/>
  </r>
  <r>
    <s v="A147"/>
    <x v="0"/>
    <d v="2024-10-21T00:00:00"/>
    <x v="1"/>
    <s v="#iPhone16Launch #AppleEvent"/>
    <n v="20777"/>
    <n v="962"/>
    <n v="308"/>
    <n v="2777"/>
    <n v="25529"/>
    <n v="165354"/>
    <s v="Apple Watch Ultra 2 Launch"/>
    <n v="0.14210851993657422"/>
  </r>
  <r>
    <s v="A148"/>
    <x v="0"/>
    <d v="2025-04-15T00:00:00"/>
    <x v="2"/>
    <s v="#iPhone16Launch #AppleEvent"/>
    <n v="20977"/>
    <n v="1402"/>
    <n v="301"/>
    <n v="1284"/>
    <n v="24620"/>
    <n v="128009"/>
    <s v="Apple Watch Ultra 2 Launch"/>
    <n v="0.43490766841166656"/>
  </r>
  <r>
    <s v="A149"/>
    <x v="2"/>
    <d v="2024-06-16T00:00:00"/>
    <x v="1"/>
    <s v="#AppleWatchUltra2 #HealthTech"/>
    <n v="12160"/>
    <n v="1405"/>
    <n v="769"/>
    <n v="1980"/>
    <n v="33174"/>
    <n v="226481"/>
    <s v="Apple Watch Ultra 2 Launch"/>
    <n v="6.2062426123891047E-2"/>
  </r>
  <r>
    <s v="A150"/>
    <x v="1"/>
    <d v="2024-08-22T00:00:00"/>
    <x v="2"/>
    <s v="#iPhonePhotography #ShotOniPhone"/>
    <n v="16124"/>
    <n v="863"/>
    <n v="337"/>
    <n v="819"/>
    <n v="85788"/>
    <n v="68625"/>
    <s v="iPhone 16 Launch"/>
    <n v="7.5512161101909156E-2"/>
  </r>
  <r>
    <s v="A151"/>
    <x v="0"/>
    <d v="2024-07-26T00:00:00"/>
    <x v="2"/>
    <s v="#MacBookProM3"/>
    <n v="18282"/>
    <n v="224"/>
    <n v="962"/>
    <n v="890"/>
    <n v="35105"/>
    <n v="64089"/>
    <s v="iPhone 16 Launch"/>
    <n v="7.9382166332305784E-2"/>
  </r>
  <r>
    <s v="A152"/>
    <x v="0"/>
    <d v="2025-10-04T00:00:00"/>
    <x v="2"/>
    <s v="#Sustainability #AppleEarth"/>
    <n v="12488"/>
    <n v="1403"/>
    <n v="247"/>
    <n v="1350"/>
    <n v="28370"/>
    <n v="76487"/>
    <s v="Apple Event September 2025"/>
    <n v="0.16284453863785578"/>
  </r>
  <r>
    <s v="A153"/>
    <x v="2"/>
    <d v="2025-01-01T00:00:00"/>
    <x v="2"/>
    <s v="#MacBookAirM3 #AppleInnovation"/>
    <n v="24574"/>
    <n v="909"/>
    <n v="280"/>
    <n v="2009"/>
    <n v="6221"/>
    <n v="236910"/>
    <s v="MacBook Air M3 Campaign"/>
    <n v="0.10305694673344321"/>
  </r>
  <r>
    <s v="A154"/>
    <x v="0"/>
    <d v="2024-10-09T00:00:00"/>
    <x v="2"/>
    <s v="#iPhone16Launch #AppleEvent"/>
    <n v="7240"/>
    <n v="1384"/>
    <n v="954"/>
    <n v="2335"/>
    <n v="6757"/>
    <n v="150448"/>
    <s v="Sustainability Awareness Drive"/>
    <n v="8.8045226823551037E-2"/>
  </r>
  <r>
    <s v="A155"/>
    <x v="2"/>
    <d v="2024-12-21T00:00:00"/>
    <x v="0"/>
    <s v="#AppleWatchUltra2 #HealthTech"/>
    <n v="12453"/>
    <n v="376"/>
    <n v="320"/>
    <n v="2546"/>
    <n v="22617"/>
    <n v="90138"/>
    <s v="Sustainability Awareness Drive"/>
    <n v="0.10340271934446341"/>
  </r>
  <r>
    <s v="A156"/>
    <x v="3"/>
    <d v="2024-10-22T00:00:00"/>
    <x v="1"/>
    <s v="#AppleMusic #AppleLifestyle"/>
    <n v="12478"/>
    <n v="484"/>
    <n v="332"/>
    <n v="2734"/>
    <n v="43338"/>
    <n v="213895"/>
    <s v="iPhone 16 Launch"/>
    <n v="6.230812855328343E-2"/>
  </r>
  <r>
    <s v="A157"/>
    <x v="0"/>
    <d v="2024-07-23T00:00:00"/>
    <x v="2"/>
    <s v="#iPhonePhotography #ShotOniPhone"/>
    <n v="24877"/>
    <n v="262"/>
    <n v="513"/>
    <n v="648"/>
    <n v="47544"/>
    <n v="208280"/>
    <s v="Sustainability Awareness Drive"/>
    <n v="0.11852769126983394"/>
  </r>
  <r>
    <s v="A158"/>
    <x v="3"/>
    <d v="2024-08-11T00:00:00"/>
    <x v="3"/>
    <s v="#MacBookAirM3 #AppleInnovation"/>
    <n v="14394"/>
    <n v="1202"/>
    <n v="188"/>
    <n v="1259"/>
    <n v="21925"/>
    <n v="94061"/>
    <s v="iPhone 16 Launch"/>
    <n v="7.8555502468545951E-2"/>
  </r>
  <r>
    <s v="A159"/>
    <x v="2"/>
    <d v="2025-10-05T00:00:00"/>
    <x v="1"/>
    <s v="#AppleMusic #AppleLifestyle"/>
    <n v="21262"/>
    <n v="861"/>
    <n v="676"/>
    <n v="2263"/>
    <n v="12085"/>
    <n v="201731"/>
    <s v="Apple Event September 2025"/>
    <n v="0.14246703743048178"/>
  </r>
  <r>
    <s v="A160"/>
    <x v="1"/>
    <d v="2024-08-24T00:00:00"/>
    <x v="1"/>
    <s v="#iPhonePhotography #ShotOniPhone"/>
    <n v="22527"/>
    <n v="865"/>
    <n v="646"/>
    <n v="992"/>
    <n v="18654"/>
    <n v="141376"/>
    <s v="MacBook Air M3 Campaign"/>
    <n v="0.13356076853837692"/>
  </r>
  <r>
    <s v="A161"/>
    <x v="0"/>
    <d v="2025-10-06T00:00:00"/>
    <x v="2"/>
    <s v="#AppleDesign #Innovation"/>
    <n v="22028"/>
    <n v="355"/>
    <n v="665"/>
    <n v="1859"/>
    <n v="50565"/>
    <n v="202962"/>
    <s v="Apple Event September 2025"/>
    <n v="0.2702880195140257"/>
  </r>
  <r>
    <s v="A162"/>
    <x v="2"/>
    <d v="2025-04-01T00:00:00"/>
    <x v="0"/>
    <s v="#AppleMusic #AppleLifestyle"/>
    <n v="6432"/>
    <n v="1272"/>
    <n v="498"/>
    <n v="677"/>
    <n v="47305"/>
    <n v="119134"/>
    <s v="Apple Watch Ultra 2 Launch"/>
    <n v="0.10843039012202055"/>
  </r>
  <r>
    <s v="A163"/>
    <x v="1"/>
    <d v="2025-04-08T00:00:00"/>
    <x v="2"/>
    <s v="#AppleWatchUltra2 #HealthTech"/>
    <n v="15568"/>
    <n v="1166"/>
    <n v="546"/>
    <n v="826"/>
    <n v="21836"/>
    <n v="87055"/>
    <s v="Apple Watch Ultra 2 Launch"/>
    <n v="0.36648215308264936"/>
  </r>
  <r>
    <s v="A164"/>
    <x v="1"/>
    <d v="2025-02-27T00:00:00"/>
    <x v="0"/>
    <s v="#MacBookAirM3 #AppleInnovation"/>
    <n v="16178"/>
    <n v="1048"/>
    <n v="871"/>
    <n v="2553"/>
    <n v="39025"/>
    <n v="59508"/>
    <s v="Apple Watch Ultra 2 Launch"/>
    <n v="0.10906274859581033"/>
  </r>
  <r>
    <s v="A165"/>
    <x v="3"/>
    <d v="2025-10-07T00:00:00"/>
    <x v="3"/>
    <s v="#AppleWatch #Health"/>
    <n v="19660"/>
    <n v="1307"/>
    <n v="310"/>
    <n v="2802"/>
    <n v="22171"/>
    <n v="213359"/>
    <s v="Apple Event September 2025"/>
    <n v="8.5321987544762265E-2"/>
  </r>
  <r>
    <s v="A166"/>
    <x v="2"/>
    <d v="2025-02-16T00:00:00"/>
    <x v="1"/>
    <s v="#AppleEvent #iPhone16"/>
    <n v="24195"/>
    <n v="888"/>
    <n v="165"/>
    <n v="1559"/>
    <n v="11596"/>
    <n v="249988"/>
    <s v="Sustainability Awareness Drive"/>
    <n v="0.22192142040959831"/>
  </r>
  <r>
    <s v="A167"/>
    <x v="1"/>
    <d v="2024-11-28T00:00:00"/>
    <x v="3"/>
    <s v="#AppleEvent #iPhone16"/>
    <n v="2302"/>
    <n v="347"/>
    <n v="642"/>
    <n v="2175"/>
    <n v="56378"/>
    <n v="198056"/>
    <s v="MacBook Air M3 Campaign"/>
    <n v="1.7918980725253185E-2"/>
  </r>
  <r>
    <s v="A168"/>
    <x v="0"/>
    <d v="2024-11-12T00:00:00"/>
    <x v="0"/>
    <s v="#MacBookAirM3 #AppleInnovation"/>
    <n v="19022"/>
    <n v="541"/>
    <n v="575"/>
    <n v="2063"/>
    <n v="42743"/>
    <n v="150169"/>
    <s v="Apple Watch Ultra 2 Launch"/>
    <n v="9.7073993733429745E-2"/>
  </r>
  <r>
    <s v="A169"/>
    <x v="0"/>
    <d v="2024-12-03T00:00:00"/>
    <x v="0"/>
    <s v="#AppleMusic #AppleLifestyle"/>
    <n v="2055"/>
    <n v="675"/>
    <n v="257"/>
    <n v="820"/>
    <n v="33534"/>
    <n v="48125"/>
    <s v="Apple Watch Ultra 2 Launch"/>
    <n v="1.5064555174500706E-2"/>
  </r>
  <r>
    <s v="A170"/>
    <x v="3"/>
    <d v="2025-04-28T00:00:00"/>
    <x v="3"/>
    <s v="#iPhonePhotography #ShotOniPhone"/>
    <n v="15013"/>
    <n v="1286"/>
    <n v="599"/>
    <n v="2001"/>
    <n v="67839"/>
    <n v="76059"/>
    <s v="Apple Watch Ultra 2 Launch"/>
    <n v="0.23605503946357478"/>
  </r>
  <r>
    <s v="A171"/>
    <x v="1"/>
    <d v="2024-12-31T00:00:00"/>
    <x v="0"/>
    <s v="#AppleWatchUltra2 #HealthTech"/>
    <n v="10717"/>
    <n v="760"/>
    <n v="460"/>
    <n v="1316"/>
    <n v="18164"/>
    <n v="240641"/>
    <s v="MacBook Air M3 Campaign"/>
    <n v="9.6804800908279948E-2"/>
  </r>
  <r>
    <s v="A172"/>
    <x v="2"/>
    <d v="2024-08-14T00:00:00"/>
    <x v="3"/>
    <s v="#Sustainability #AppleEarth"/>
    <n v="10150"/>
    <n v="526"/>
    <n v="888"/>
    <n v="1313"/>
    <n v="51605"/>
    <n v="143409"/>
    <s v="Apple Watch Ultra 2 Launch"/>
    <n v="7.1493044822256574E-2"/>
  </r>
  <r>
    <s v="A173"/>
    <x v="0"/>
    <d v="2024-12-05T00:00:00"/>
    <x v="1"/>
    <s v="#AppleEvent #iPhone16"/>
    <n v="4125"/>
    <n v="1364"/>
    <n v="319"/>
    <n v="2848"/>
    <n v="15379"/>
    <n v="188159"/>
    <s v="MacBook Air M3 Campaign"/>
    <n v="4.1455510984853894E-2"/>
  </r>
  <r>
    <s v="A174"/>
    <x v="1"/>
    <d v="2024-06-22T00:00:00"/>
    <x v="3"/>
    <s v="#AppleWatchUltra2 #HealthTech"/>
    <n v="13479"/>
    <n v="1189"/>
    <n v="695"/>
    <n v="416"/>
    <n v="30229"/>
    <n v="45704"/>
    <s v="Apple Watch Ultra 2 Launch"/>
    <n v="9.4246908127208484E-2"/>
  </r>
  <r>
    <s v="A175"/>
    <x v="1"/>
    <d v="2025-10-08T00:00:00"/>
    <x v="1"/>
    <s v="#AppleEvent #iPhone16"/>
    <n v="17745"/>
    <n v="414"/>
    <n v="563"/>
    <n v="2733"/>
    <n v="995"/>
    <n v="231648"/>
    <s v="Apple Event September 2025"/>
    <n v="0.14581337570192451"/>
  </r>
  <r>
    <s v="A176"/>
    <x v="3"/>
    <d v="2025-10-09T00:00:00"/>
    <x v="3"/>
    <s v="#AppleDesign #Innovation"/>
    <n v="18748"/>
    <n v="634"/>
    <n v="400"/>
    <n v="1667"/>
    <n v="75813"/>
    <n v="244456"/>
    <s v="Apple Event September 2025"/>
    <n v="9.1567648134347354E-2"/>
  </r>
  <r>
    <s v="A177"/>
    <x v="0"/>
    <d v="2024-07-10T00:00:00"/>
    <x v="0"/>
    <s v="#iPhonePhotography #ShotOniPhone"/>
    <n v="8809"/>
    <n v="1151"/>
    <n v="908"/>
    <n v="883"/>
    <n v="42921"/>
    <n v="151279"/>
    <s v="MacBook Air M3 Campaign"/>
    <n v="4.4847564498291602E-2"/>
  </r>
  <r>
    <s v="A178"/>
    <x v="0"/>
    <d v="2025-10-10T00:00:00"/>
    <x v="3"/>
    <s v="#AppleDesign #Innovation"/>
    <n v="6621"/>
    <n v="922"/>
    <n v="930"/>
    <n v="694"/>
    <n v="839"/>
    <n v="243532"/>
    <s v="Apple Event September 2025"/>
    <n v="8.358736077816252E-2"/>
  </r>
  <r>
    <s v="A179"/>
    <x v="2"/>
    <d v="2024-07-15T00:00:00"/>
    <x v="0"/>
    <s v="#AppleEvent #iPhone16"/>
    <n v="17034"/>
    <n v="231"/>
    <n v="290"/>
    <n v="1387"/>
    <n v="63550"/>
    <n v="198280"/>
    <s v="MacBook Air M3 Campaign"/>
    <n v="8.0544888118080499E-2"/>
  </r>
  <r>
    <s v="A180"/>
    <x v="0"/>
    <d v="2025-10-11T00:00:00"/>
    <x v="3"/>
    <s v="#AppleWatch #Health"/>
    <n v="15623"/>
    <n v="869"/>
    <n v="423"/>
    <n v="371"/>
    <n v="47579"/>
    <n v="158516"/>
    <s v="Apple Event September 2025"/>
    <n v="8.7033254266764767E-2"/>
  </r>
  <r>
    <s v="A181"/>
    <x v="2"/>
    <d v="2025-10-12T00:00:00"/>
    <x v="3"/>
    <s v="#AppleWatch #Health"/>
    <n v="7126"/>
    <n v="484"/>
    <n v="565"/>
    <n v="573"/>
    <n v="7389"/>
    <n v="237096"/>
    <s v="Apple Event September 2025"/>
    <n v="5.9869933941675335E-2"/>
  </r>
  <r>
    <s v="A182"/>
    <x v="0"/>
    <d v="2024-07-31T00:00:00"/>
    <x v="2"/>
    <s v="#AppleDesign #Innovation"/>
    <n v="7122"/>
    <n v="628"/>
    <n v="757"/>
    <n v="2313"/>
    <n v="50924"/>
    <n v="210954"/>
    <s v="MacBook Air M3 Campaign"/>
    <n v="5.6581310276022617E-2"/>
  </r>
  <r>
    <s v="A183"/>
    <x v="3"/>
    <d v="2024-12-17T00:00:00"/>
    <x v="0"/>
    <s v="#AppleWatch #Health"/>
    <n v="20030"/>
    <n v="485"/>
    <n v="888"/>
    <n v="1643"/>
    <n v="4322"/>
    <n v="196995"/>
    <s v="Sustainability Awareness Drive"/>
    <n v="8.6379394541103161E-2"/>
  </r>
  <r>
    <s v="A184"/>
    <x v="0"/>
    <d v="2025-10-13T00:00:00"/>
    <x v="2"/>
    <s v="#AppleEvent #iPhone16"/>
    <n v="19302"/>
    <n v="1367"/>
    <n v="188"/>
    <n v="637"/>
    <n v="31404"/>
    <n v="154044"/>
    <s v="Apple Event September 2025"/>
    <n v="0.17384744900936044"/>
  </r>
  <r>
    <s v="A185"/>
    <x v="2"/>
    <d v="2025-01-11T00:00:00"/>
    <x v="0"/>
    <s v="#MacBookAirM3 #AppleInnovation"/>
    <n v="21181"/>
    <n v="1242"/>
    <n v="963"/>
    <n v="1689"/>
    <n v="49329"/>
    <n v="69165"/>
    <s v="Apple Watch Ultra 2 Launch"/>
    <n v="0.12541427575481312"/>
  </r>
  <r>
    <s v="A186"/>
    <x v="2"/>
    <d v="2024-08-24T00:00:00"/>
    <x v="2"/>
    <s v="#AppleDesign #Innovation"/>
    <n v="24890"/>
    <n v="217"/>
    <n v="178"/>
    <n v="906"/>
    <n v="54826"/>
    <n v="107203"/>
    <s v="Sustainability Awareness Drive"/>
    <n v="0.10343374676833458"/>
  </r>
  <r>
    <s v="A187"/>
    <x v="3"/>
    <d v="2024-12-22T00:00:00"/>
    <x v="1"/>
    <s v="#Sustainability #AppleEarth"/>
    <n v="7870"/>
    <n v="968"/>
    <n v="626"/>
    <n v="465"/>
    <n v="27184"/>
    <n v="44114"/>
    <s v="MacBook Air M3 Campaign"/>
    <n v="4.0855090482110785E-2"/>
  </r>
  <r>
    <s v="A188"/>
    <x v="0"/>
    <d v="2024-06-06T00:00:00"/>
    <x v="3"/>
    <s v="#Sustainability #AppleEarth"/>
    <n v="3531"/>
    <n v="789"/>
    <n v="467"/>
    <n v="1867"/>
    <n v="40816"/>
    <n v="236037"/>
    <s v="Sustainability Awareness Drive"/>
    <n v="3.5809395571514066E-2"/>
  </r>
  <r>
    <s v="A189"/>
    <x v="0"/>
    <d v="2025-03-24T00:00:00"/>
    <x v="0"/>
    <s v="#ShotOniPhone"/>
    <n v="10172"/>
    <n v="1398"/>
    <n v="394"/>
    <n v="2358"/>
    <n v="59610"/>
    <n v="76321"/>
    <s v="iPhone 16 Launch"/>
    <n v="8.3425726418844007E-2"/>
  </r>
  <r>
    <s v="A190"/>
    <x v="3"/>
    <d v="2024-10-04T00:00:00"/>
    <x v="0"/>
    <s v="#AppleMusic #AppleLifestyle"/>
    <n v="21729"/>
    <n v="1209"/>
    <n v="897"/>
    <n v="1624"/>
    <n v="38771"/>
    <n v="113297"/>
    <s v="iPhone 16 Launch"/>
    <n v="0.17442115739250066"/>
  </r>
  <r>
    <s v="A191"/>
    <x v="0"/>
    <d v="2025-10-14T00:00:00"/>
    <x v="3"/>
    <s v="#iPhonePhotography #ShotOniPhone"/>
    <n v="9673"/>
    <n v="393"/>
    <n v="846"/>
    <n v="1028"/>
    <n v="55556"/>
    <n v="136652"/>
    <s v="Apple Event September 2025"/>
    <n v="4.627572051364693E-2"/>
  </r>
  <r>
    <s v="A192"/>
    <x v="0"/>
    <d v="2025-10-15T00:00:00"/>
    <x v="0"/>
    <s v="#AppleWatch #Health"/>
    <n v="8882"/>
    <n v="701"/>
    <n v="421"/>
    <n v="2343"/>
    <n v="13588"/>
    <n v="139304"/>
    <s v="Apple Event September 2025"/>
    <n v="4.6808032789953401E-2"/>
  </r>
  <r>
    <s v="A193"/>
    <x v="2"/>
    <d v="2024-09-11T00:00:00"/>
    <x v="0"/>
    <s v="#AppleWatch #Health"/>
    <n v="3906"/>
    <n v="1187"/>
    <n v="589"/>
    <n v="401"/>
    <n v="52687"/>
    <n v="196498"/>
    <s v="Apple Watch Ultra 2 Launch"/>
    <n v="2.5445019144219788E-2"/>
  </r>
  <r>
    <s v="A194"/>
    <x v="0"/>
    <d v="2024-10-02T00:00:00"/>
    <x v="2"/>
    <s v="#AppleMusic #AppleLifestyle"/>
    <n v="5086"/>
    <n v="1336"/>
    <n v="897"/>
    <n v="1715"/>
    <n v="60592"/>
    <n v="57772"/>
    <s v="Sustainability Awareness Drive"/>
    <n v="6.1431413199486321E-2"/>
  </r>
  <r>
    <s v="A195"/>
    <x v="0"/>
    <d v="2024-08-15T00:00:00"/>
    <x v="0"/>
    <s v="#iPhone16Launch #AppleEvent"/>
    <n v="15503"/>
    <n v="313"/>
    <n v="388"/>
    <n v="1078"/>
    <n v="11500"/>
    <n v="143754"/>
    <s v="iPhone 16 Launch"/>
    <n v="0.13937725787029073"/>
  </r>
  <r>
    <s v="A196"/>
    <x v="3"/>
    <d v="2025-09-18T00:00:00"/>
    <x v="1"/>
    <s v="#MacBookProM3"/>
    <n v="10152"/>
    <n v="1445"/>
    <n v="526"/>
    <n v="513"/>
    <n v="18959"/>
    <n v="43712"/>
    <s v="Apple Event September 2025"/>
    <n v="5.6473251718933422E-2"/>
  </r>
  <r>
    <s v="A197"/>
    <x v="3"/>
    <d v="2024-10-22T00:00:00"/>
    <x v="1"/>
    <s v="#AppleDesign #Innovation"/>
    <n v="7750"/>
    <n v="1146"/>
    <n v="415"/>
    <n v="1411"/>
    <n v="85339"/>
    <n v="172439"/>
    <s v="Sustainability Awareness Drive"/>
    <n v="5.08039918591391E-2"/>
  </r>
  <r>
    <s v="A198"/>
    <x v="1"/>
    <d v="2025-09-19T00:00:00"/>
    <x v="3"/>
    <s v="#AppleEvent #iPadPro"/>
    <n v="14772"/>
    <n v="1030"/>
    <n v="508"/>
    <n v="1876"/>
    <n v="8882"/>
    <n v="155142"/>
    <s v="Apple Event September 2025"/>
    <n v="7.5492483151892179E-2"/>
  </r>
  <r>
    <s v="A199"/>
    <x v="2"/>
    <d v="2025-09-20T00:00:00"/>
    <x v="0"/>
    <s v="#AppleWatch #Health"/>
    <n v="12267"/>
    <n v="1487"/>
    <n v="489"/>
    <n v="2748"/>
    <n v="34685"/>
    <n v="131736"/>
    <s v="Apple Event September 2025"/>
    <n v="0.14072442002924554"/>
  </r>
  <r>
    <s v="A200"/>
    <x v="0"/>
    <d v="2025-04-07T00:00:00"/>
    <x v="3"/>
    <s v="#iPhonePhotography #ShotOniPhone"/>
    <n v="3062"/>
    <n v="1124"/>
    <n v="538"/>
    <n v="2935"/>
    <n v="69749"/>
    <n v="91924"/>
    <s v="iPhone 16 Launch"/>
    <n v="1.9954970367460387E-2"/>
  </r>
  <r>
    <s v="A201"/>
    <x v="0"/>
    <d v="2025-01-15T00:00:00"/>
    <x v="1"/>
    <s v="#ShotOniPhone"/>
    <n v="20360"/>
    <n v="254"/>
    <n v="726"/>
    <n v="1995"/>
    <n v="14280"/>
    <n v="43726"/>
    <s v="iPhone 16 Launch"/>
    <n v="0.11855621420119"/>
  </r>
  <r>
    <s v="A202"/>
    <x v="1"/>
    <d v="2025-09-21T00:00:00"/>
    <x v="0"/>
    <s v="#Sustainability #AppleEarth"/>
    <n v="19680"/>
    <n v="999"/>
    <n v="838"/>
    <n v="891"/>
    <n v="29576"/>
    <n v="129152"/>
    <s v="Apple Event September 2025"/>
    <n v="0.23000288612628406"/>
  </r>
  <r>
    <s v="A203"/>
    <x v="0"/>
    <d v="2024-11-21T00:00:00"/>
    <x v="0"/>
    <s v="#AppleWatch #Health"/>
    <n v="8229"/>
    <n v="977"/>
    <n v="152"/>
    <n v="1633"/>
    <n v="71447"/>
    <n v="67723"/>
    <s v="MacBook Air M3 Campaign"/>
    <n v="4.7253557398075116E-2"/>
  </r>
  <r>
    <s v="A204"/>
    <x v="2"/>
    <d v="2025-09-22T00:00:00"/>
    <x v="3"/>
    <s v="#ShotOniPhone"/>
    <n v="18509"/>
    <n v="361"/>
    <n v="578"/>
    <n v="1409"/>
    <n v="10569"/>
    <n v="166969"/>
    <s v="Apple Event September 2025"/>
    <n v="0.11557821795123227"/>
  </r>
  <r>
    <s v="A205"/>
    <x v="1"/>
    <d v="2025-09-23T00:00:00"/>
    <x v="1"/>
    <s v="#AppleEvent #iPhone16"/>
    <n v="17147"/>
    <n v="286"/>
    <n v="291"/>
    <n v="2439"/>
    <n v="45631"/>
    <n v="140494"/>
    <s v="Apple Event September 2025"/>
    <n v="0.10499813391942087"/>
  </r>
  <r>
    <s v="A206"/>
    <x v="2"/>
    <d v="2024-06-24T00:00:00"/>
    <x v="0"/>
    <s v="#AppleEvent #iPhone16"/>
    <n v="6632"/>
    <n v="254"/>
    <n v="525"/>
    <n v="1013"/>
    <n v="13838"/>
    <n v="180180"/>
    <s v="Apple Watch Ultra 2 Launch"/>
    <n v="3.6616336291231052E-2"/>
  </r>
  <r>
    <s v="A207"/>
    <x v="1"/>
    <d v="2024-12-29T00:00:00"/>
    <x v="3"/>
    <s v="#MacBookProM3"/>
    <n v="8288"/>
    <n v="1401"/>
    <n v="819"/>
    <n v="1235"/>
    <n v="33446"/>
    <n v="248786"/>
    <s v="Apple Watch Ultra 2 Launch"/>
    <n v="4.788639967917753E-2"/>
  </r>
  <r>
    <s v="A208"/>
    <x v="1"/>
    <d v="2024-06-24T00:00:00"/>
    <x v="1"/>
    <s v="#MacBookAirM3 #AppleInnovation"/>
    <n v="5596"/>
    <n v="1231"/>
    <n v="473"/>
    <n v="2251"/>
    <n v="43705"/>
    <n v="75643"/>
    <s v="Apple Watch Ultra 2 Launch"/>
    <n v="4.1516902497838848E-2"/>
  </r>
  <r>
    <s v="A209"/>
    <x v="3"/>
    <d v="2025-03-19T00:00:00"/>
    <x v="3"/>
    <s v="#AppleEvent #iPadPro"/>
    <n v="13475"/>
    <n v="1032"/>
    <n v="295"/>
    <n v="541"/>
    <n v="43666"/>
    <n v="202396"/>
    <s v="MacBook Air M3 Campaign"/>
    <n v="8.6213022231800149E-2"/>
  </r>
  <r>
    <s v="A210"/>
    <x v="2"/>
    <d v="2025-02-19T00:00:00"/>
    <x v="2"/>
    <s v="#iPhone16Launch #AppleEvent"/>
    <n v="8168"/>
    <n v="512"/>
    <n v="442"/>
    <n v="2343"/>
    <n v="2753"/>
    <n v="143896"/>
    <s v="MacBook Air M3 Campaign"/>
    <n v="6.0299182305541418E-2"/>
  </r>
  <r>
    <s v="A211"/>
    <x v="0"/>
    <d v="2025-09-24T00:00:00"/>
    <x v="0"/>
    <s v="#MacBookProM3"/>
    <n v="11795"/>
    <n v="958"/>
    <n v="814"/>
    <n v="301"/>
    <n v="12564"/>
    <n v="179999"/>
    <s v="Apple Event September 2025"/>
    <n v="9.7391316832251759E-2"/>
  </r>
  <r>
    <s v="A212"/>
    <x v="0"/>
    <d v="2025-03-03T00:00:00"/>
    <x v="2"/>
    <s v="#AppleWatchUltra2 #HealthTech"/>
    <n v="9561"/>
    <n v="642"/>
    <n v="581"/>
    <n v="2572"/>
    <n v="38552"/>
    <n v="133680"/>
    <s v="Apple Watch Ultra 2 Launch"/>
    <n v="8.3342993825013714E-2"/>
  </r>
  <r>
    <s v="A213"/>
    <x v="2"/>
    <d v="2025-05-01T00:00:00"/>
    <x v="1"/>
    <s v="#iPhone16Launch #AppleEvent"/>
    <n v="10258"/>
    <n v="527"/>
    <n v="854"/>
    <n v="2068"/>
    <n v="45632"/>
    <n v="136546"/>
    <s v="MacBook Air M3 Campaign"/>
    <n v="4.6614921260473237E-2"/>
  </r>
  <r>
    <s v="A214"/>
    <x v="0"/>
    <d v="2024-12-23T00:00:00"/>
    <x v="2"/>
    <s v="#AppleDesign #Innovation"/>
    <n v="18616"/>
    <n v="1277"/>
    <n v="734"/>
    <n v="2249"/>
    <n v="3399"/>
    <n v="193515"/>
    <s v="iPhone 16 Launch"/>
    <n v="0.11619994028606355"/>
  </r>
  <r>
    <s v="A215"/>
    <x v="0"/>
    <d v="2025-09-25T00:00:00"/>
    <x v="2"/>
    <s v="#iPhonePhotography #ShotOniPhone"/>
    <n v="8371"/>
    <n v="960"/>
    <n v="548"/>
    <n v="2936"/>
    <n v="82543"/>
    <n v="119973"/>
    <s v="Apple Event September 2025"/>
    <n v="5.1253716011144139E-2"/>
  </r>
  <r>
    <s v="A216"/>
    <x v="2"/>
    <d v="2024-07-29T00:00:00"/>
    <x v="1"/>
    <s v="#AppleWatchUltra2 #HealthTech"/>
    <n v="22590"/>
    <n v="1462"/>
    <n v="966"/>
    <n v="2463"/>
    <n v="29689"/>
    <n v="103449"/>
    <s v="Sustainability Awareness Drive"/>
    <n v="0.10405869679147499"/>
  </r>
  <r>
    <s v="A217"/>
    <x v="1"/>
    <d v="2025-09-26T00:00:00"/>
    <x v="3"/>
    <s v="#AppleWatchUltra2 #HealthTech"/>
    <n v="16369"/>
    <n v="1452"/>
    <n v="493"/>
    <n v="1217"/>
    <n v="91440"/>
    <n v="149834"/>
    <s v="Apple Event September 2025"/>
    <n v="8.8814529230620012E-2"/>
  </r>
  <r>
    <s v="A218"/>
    <x v="2"/>
    <d v="2024-06-11T00:00:00"/>
    <x v="2"/>
    <s v="#MacBookProM3"/>
    <n v="14910"/>
    <n v="778"/>
    <n v="289"/>
    <n v="2541"/>
    <n v="14309"/>
    <n v="247815"/>
    <s v="Sustainability Awareness Drive"/>
    <n v="0.1341094901539443"/>
  </r>
  <r>
    <s v="A219"/>
    <x v="1"/>
    <d v="2025-01-28T00:00:00"/>
    <x v="3"/>
    <s v="#AppleMusic #AppleLifestyle"/>
    <n v="9943"/>
    <n v="1274"/>
    <n v="336"/>
    <n v="389"/>
    <n v="6145"/>
    <n v="231305"/>
    <s v="Apple Watch Ultra 2 Launch"/>
    <n v="5.9477046791904985E-2"/>
  </r>
  <r>
    <s v="A220"/>
    <x v="0"/>
    <d v="2024-06-02T00:00:00"/>
    <x v="2"/>
    <s v="#MacBookAirM3 #AppleInnovation"/>
    <n v="14199"/>
    <n v="1206"/>
    <n v="954"/>
    <n v="2009"/>
    <n v="8"/>
    <n v="65537"/>
    <s v="Sustainability Awareness Drive"/>
    <n v="8.2596600003029402E-2"/>
  </r>
  <r>
    <s v="A221"/>
    <x v="0"/>
    <d v="2025-03-23T00:00:00"/>
    <x v="3"/>
    <s v="#AppleMusic #AppleLifestyle"/>
    <n v="17728"/>
    <n v="1487"/>
    <n v="210"/>
    <n v="2469"/>
    <n v="30565"/>
    <n v="117576"/>
    <s v="Apple Watch Ultra 2 Launch"/>
    <n v="0.11273221094416491"/>
  </r>
  <r>
    <s v="A222"/>
    <x v="0"/>
    <d v="2024-10-08T00:00:00"/>
    <x v="1"/>
    <s v="#MacBookProM3"/>
    <n v="8738"/>
    <n v="295"/>
    <n v="529"/>
    <n v="442"/>
    <n v="25286"/>
    <n v="147522"/>
    <s v="iPhone 16 Launch"/>
    <n v="4.551122787979172E-2"/>
  </r>
  <r>
    <s v="A223"/>
    <x v="3"/>
    <d v="2024-11-12T00:00:00"/>
    <x v="2"/>
    <s v="#AppleDesign #Innovation"/>
    <n v="17913"/>
    <n v="1311"/>
    <n v="859"/>
    <n v="405"/>
    <n v="59842"/>
    <n v="62612"/>
    <s v="Sustainability Awareness Drive"/>
    <n v="0.13613562722848119"/>
  </r>
  <r>
    <s v="A224"/>
    <x v="1"/>
    <d v="2025-09-07T00:00:00"/>
    <x v="1"/>
    <s v="#Sustainability #AppleEarth"/>
    <n v="4472"/>
    <n v="1301"/>
    <n v="956"/>
    <n v="1186"/>
    <n v="3363"/>
    <n v="46471"/>
    <s v="Apple Event September 2025"/>
    <n v="5.3204190551492392E-2"/>
  </r>
  <r>
    <s v="A225"/>
    <x v="3"/>
    <d v="2024-06-20T00:00:00"/>
    <x v="2"/>
    <s v="#AppleWatch #Health"/>
    <n v="21123"/>
    <n v="1343"/>
    <n v="589"/>
    <n v="727"/>
    <n v="87833"/>
    <n v="206703"/>
    <s v="Apple Watch Ultra 2 Launch"/>
    <n v="9.3033109375945763E-2"/>
  </r>
  <r>
    <s v="A226"/>
    <x v="3"/>
    <d v="2025-09-08T00:00:00"/>
    <x v="1"/>
    <s v="#AppleWatch #Health"/>
    <n v="23785"/>
    <n v="1013"/>
    <n v="468"/>
    <n v="1628"/>
    <n v="8272"/>
    <n v="71348"/>
    <s v="Apple Event September 2025"/>
    <n v="0.16793842390726363"/>
  </r>
  <r>
    <s v="A227"/>
    <x v="2"/>
    <d v="2024-06-12T00:00:00"/>
    <x v="1"/>
    <s v="#MacBookAirM3 #AppleInnovation"/>
    <n v="17679"/>
    <n v="690"/>
    <n v="451"/>
    <n v="2195"/>
    <n v="4390"/>
    <n v="235804"/>
    <s v="MacBook Air M3 Campaign"/>
    <n v="0.13078890309668093"/>
  </r>
  <r>
    <s v="A228"/>
    <x v="3"/>
    <d v="2024-07-01T00:00:00"/>
    <x v="2"/>
    <s v="#AppleDesign #Innovation"/>
    <n v="3761"/>
    <n v="651"/>
    <n v="493"/>
    <n v="2294"/>
    <n v="71696"/>
    <n v="41177"/>
    <s v="Apple Watch Ultra 2 Launch"/>
    <n v="2.165744587846221E-2"/>
  </r>
  <r>
    <s v="A229"/>
    <x v="2"/>
    <d v="2024-07-03T00:00:00"/>
    <x v="2"/>
    <s v="#MacBookAirM3 #AppleInnovation"/>
    <n v="12167"/>
    <n v="364"/>
    <n v="160"/>
    <n v="616"/>
    <n v="42228"/>
    <n v="175832"/>
    <s v="Sustainability Awareness Drive"/>
    <n v="8.5766805657865389E-2"/>
  </r>
  <r>
    <s v="A230"/>
    <x v="2"/>
    <d v="2024-07-15T00:00:00"/>
    <x v="2"/>
    <s v="#ShotOniPhone"/>
    <n v="12554"/>
    <n v="381"/>
    <n v="211"/>
    <n v="2286"/>
    <n v="50567"/>
    <n v="72779"/>
    <s v="Apple Watch Ultra 2 Launch"/>
    <n v="8.3790657207870434E-2"/>
  </r>
  <r>
    <s v="A231"/>
    <x v="3"/>
    <d v="2025-09-09T00:00:00"/>
    <x v="0"/>
    <s v="#AppleMusic #AppleLifestyle"/>
    <n v="19260"/>
    <n v="668"/>
    <n v="994"/>
    <n v="934"/>
    <n v="20509"/>
    <n v="61636"/>
    <s v="Apple Event September 2025"/>
    <n v="9.7814348161481102E-2"/>
  </r>
  <r>
    <s v="A232"/>
    <x v="1"/>
    <d v="2025-04-29T00:00:00"/>
    <x v="3"/>
    <s v="#AppleWatch #Health"/>
    <n v="16277"/>
    <n v="1109"/>
    <n v="375"/>
    <n v="2225"/>
    <n v="1044"/>
    <n v="121889"/>
    <s v="iPhone 16 Launch"/>
    <n v="8.7890064429291079E-2"/>
  </r>
  <r>
    <s v="A233"/>
    <x v="1"/>
    <d v="2025-03-08T00:00:00"/>
    <x v="0"/>
    <s v="#AppleWatchUltra2 #HealthTech"/>
    <n v="5812"/>
    <n v="934"/>
    <n v="302"/>
    <n v="2356"/>
    <n v="37437"/>
    <n v="93551"/>
    <s v="Apple Watch Ultra 2 Launch"/>
    <n v="0.14645194805194806"/>
  </r>
  <r>
    <s v="A234"/>
    <x v="1"/>
    <d v="2024-06-01T00:00:00"/>
    <x v="0"/>
    <s v="#AppleMusic #AppleLifestyle"/>
    <n v="19844"/>
    <n v="1022"/>
    <n v="860"/>
    <n v="2570"/>
    <n v="23719"/>
    <n v="182628"/>
    <s v="Sustainability Awareness Drive"/>
    <n v="0.16418790242132947"/>
  </r>
  <r>
    <s v="A235"/>
    <x v="1"/>
    <d v="2024-12-22T00:00:00"/>
    <x v="1"/>
    <s v="#AppleEvent #iPadPro"/>
    <n v="20117"/>
    <n v="1143"/>
    <n v="713"/>
    <n v="1739"/>
    <n v="34444"/>
    <n v="198670"/>
    <s v="MacBook Air M3 Campaign"/>
    <n v="0.13251275494819623"/>
  </r>
  <r>
    <s v="A236"/>
    <x v="1"/>
    <d v="2024-08-19T00:00:00"/>
    <x v="2"/>
    <s v="#iPhonePhotography #ShotOniPhone"/>
    <n v="3605"/>
    <n v="206"/>
    <n v="921"/>
    <n v="852"/>
    <n v="11660"/>
    <n v="182635"/>
    <s v="iPhone 16 Launch"/>
    <n v="5.7546607644504977E-2"/>
  </r>
  <r>
    <s v="A237"/>
    <x v="3"/>
    <d v="2024-10-22T00:00:00"/>
    <x v="3"/>
    <s v="#AppleDesign #Innovation"/>
    <n v="7622"/>
    <n v="529"/>
    <n v="720"/>
    <n v="1015"/>
    <n v="71322"/>
    <n v="86819"/>
    <s v="MacBook Air M3 Campaign"/>
    <n v="0.15101373780705787"/>
  </r>
  <r>
    <s v="A238"/>
    <x v="3"/>
    <d v="2024-07-16T00:00:00"/>
    <x v="1"/>
    <s v="#iPhone16Launch #AppleEvent"/>
    <n v="8767"/>
    <n v="974"/>
    <n v="733"/>
    <n v="1587"/>
    <n v="74927"/>
    <n v="113770"/>
    <s v="Apple Watch Ultra 2 Launch"/>
    <n v="0.15652459800346705"/>
  </r>
  <r>
    <s v="A239"/>
    <x v="0"/>
    <d v="2025-09-10T00:00:00"/>
    <x v="0"/>
    <s v="#MacBookAirM3 #AppleInnovation"/>
    <n v="13613"/>
    <n v="350"/>
    <n v="809"/>
    <n v="2013"/>
    <n v="20471"/>
    <n v="198038"/>
    <s v="Apple Event September 2025"/>
    <n v="0.17637577161415113"/>
  </r>
  <r>
    <s v="A240"/>
    <x v="1"/>
    <d v="2025-09-11T00:00:00"/>
    <x v="2"/>
    <s v="#AppleMusic #AppleLifestyle"/>
    <n v="21901"/>
    <n v="1308"/>
    <n v="724"/>
    <n v="2183"/>
    <n v="15996"/>
    <n v="230961"/>
    <s v="Apple Event September 2025"/>
    <n v="0.10092648429362425"/>
  </r>
  <r>
    <s v="A241"/>
    <x v="3"/>
    <d v="2025-01-18T00:00:00"/>
    <x v="1"/>
    <s v="#iPhonePhotography #ShotOniPhone"/>
    <n v="12589"/>
    <n v="346"/>
    <n v="459"/>
    <n v="1407"/>
    <n v="29254"/>
    <n v="198059"/>
    <s v="Sustainability Awareness Drive"/>
    <n v="0.10212344172925165"/>
  </r>
  <r>
    <s v="A242"/>
    <x v="0"/>
    <d v="2025-09-12T00:00:00"/>
    <x v="2"/>
    <s v="#AppleMusic #AppleLifestyle"/>
    <n v="15918"/>
    <n v="1114"/>
    <n v="392"/>
    <n v="1641"/>
    <n v="28044"/>
    <n v="118714"/>
    <s v="Apple Event September 2025"/>
    <n v="7.3102580239144122E-2"/>
  </r>
  <r>
    <s v="A243"/>
    <x v="1"/>
    <d v="2025-03-06T00:00:00"/>
    <x v="1"/>
    <s v="#iPhone16Launch #AppleEvent"/>
    <n v="22119"/>
    <n v="899"/>
    <n v="642"/>
    <n v="410"/>
    <n v="49490"/>
    <n v="229420"/>
    <s v="iPhone 16 Launch"/>
    <n v="0.23362824867683071"/>
  </r>
  <r>
    <s v="A244"/>
    <x v="2"/>
    <d v="2025-09-13T00:00:00"/>
    <x v="2"/>
    <s v="#iPhonePhotography #ShotOniPhone"/>
    <n v="15046"/>
    <n v="281"/>
    <n v="515"/>
    <n v="550"/>
    <n v="22583"/>
    <n v="64596"/>
    <s v="Apple Event September 2025"/>
    <n v="0.12685981517961531"/>
  </r>
  <r>
    <s v="A245"/>
    <x v="0"/>
    <d v="2025-01-12T00:00:00"/>
    <x v="0"/>
    <s v="#AppleEvent #iPadPro"/>
    <n v="4590"/>
    <n v="713"/>
    <n v="479"/>
    <n v="2730"/>
    <n v="41050"/>
    <n v="204246"/>
    <s v="Sustainability Awareness Drive"/>
    <n v="2.8985943171108305E-2"/>
  </r>
  <r>
    <s v="A246"/>
    <x v="3"/>
    <d v="2024-10-11T00:00:00"/>
    <x v="3"/>
    <s v="#iPhone16Launch #AppleEvent"/>
    <n v="19447"/>
    <n v="1014"/>
    <n v="256"/>
    <n v="2354"/>
    <n v="5472"/>
    <n v="104106"/>
    <s v="Apple Watch Ultra 2 Launch"/>
    <n v="9.7120649564956502E-2"/>
  </r>
  <r>
    <s v="A247"/>
    <x v="2"/>
    <d v="2024-08-27T00:00:00"/>
    <x v="0"/>
    <s v="#MacBookProM3"/>
    <n v="6324"/>
    <n v="908"/>
    <n v="375"/>
    <n v="758"/>
    <n v="34850"/>
    <n v="241039"/>
    <s v="Apple Watch Ultra 2 Launch"/>
    <n v="4.2805694671093353E-2"/>
  </r>
  <r>
    <s v="A248"/>
    <x v="2"/>
    <d v="2025-09-14T00:00:00"/>
    <x v="3"/>
    <s v="#AppleEvent #iPhone16"/>
    <n v="12787"/>
    <n v="945"/>
    <n v="974"/>
    <n v="1407"/>
    <n v="4037"/>
    <n v="99182"/>
    <s v="Apple Event September 2025"/>
    <n v="7.5152159359780868E-2"/>
  </r>
  <r>
    <s v="A249"/>
    <x v="2"/>
    <d v="2024-07-18T00:00:00"/>
    <x v="2"/>
    <s v="#MacBookProM3"/>
    <n v="11111"/>
    <n v="1222"/>
    <n v="367"/>
    <n v="507"/>
    <n v="14129"/>
    <n v="127163"/>
    <s v="MacBook Air M3 Campaign"/>
    <n v="7.6072958159873014E-2"/>
  </r>
  <r>
    <s v="A250"/>
    <x v="0"/>
    <d v="2024-06-22T00:00:00"/>
    <x v="1"/>
    <s v="#AppleWatch #Health"/>
    <n v="7342"/>
    <n v="906"/>
    <n v="902"/>
    <n v="1199"/>
    <n v="68488"/>
    <n v="79310"/>
    <s v="Apple Watch Ultra 2 Launch"/>
    <n v="5.3062242300175713E-2"/>
  </r>
  <r>
    <s v="A251"/>
    <x v="3"/>
    <d v="2025-09-15T00:00:00"/>
    <x v="0"/>
    <s v="#AppleMusic #AppleLifestyle"/>
    <n v="18389"/>
    <n v="670"/>
    <n v="655"/>
    <n v="321"/>
    <n v="21869"/>
    <n v="96088"/>
    <s v="Apple Event September 2025"/>
    <n v="8.2979762265548707E-2"/>
  </r>
  <r>
    <s v="A252"/>
    <x v="2"/>
    <d v="2025-04-28T00:00:00"/>
    <x v="3"/>
    <s v="#AppleEvent #iPhone16"/>
    <n v="10659"/>
    <n v="1342"/>
    <n v="408"/>
    <n v="709"/>
    <n v="16309"/>
    <n v="168803"/>
    <s v="Sustainability Awareness Drive"/>
    <n v="5.6346917924849589E-2"/>
  </r>
  <r>
    <s v="A253"/>
    <x v="1"/>
    <d v="2025-09-16T00:00:00"/>
    <x v="0"/>
    <s v="#MacBookProM3"/>
    <n v="16043"/>
    <n v="595"/>
    <n v="923"/>
    <n v="1194"/>
    <n v="52613"/>
    <n v="179978"/>
    <s v="Apple Event September 2025"/>
    <n v="0.25294558234667125"/>
  </r>
  <r>
    <s v="A254"/>
    <x v="2"/>
    <d v="2025-01-14T00:00:00"/>
    <x v="3"/>
    <s v="#AppleEvent #iPhone16"/>
    <n v="24350"/>
    <n v="460"/>
    <n v="666"/>
    <n v="814"/>
    <n v="21120"/>
    <n v="76914"/>
    <s v="Apple Watch Ultra 2 Launch"/>
    <n v="0.13805211906426285"/>
  </r>
  <r>
    <s v="A255"/>
    <x v="2"/>
    <d v="2025-04-03T00:00:00"/>
    <x v="0"/>
    <s v="#Sustainability #AppleEarth"/>
    <n v="10837"/>
    <n v="1004"/>
    <n v="922"/>
    <n v="1108"/>
    <n v="36807"/>
    <n v="150350"/>
    <s v="Sustainability Awareness Drive"/>
    <n v="7.7503233602749619E-2"/>
  </r>
  <r>
    <s v="A256"/>
    <x v="0"/>
    <d v="2025-09-17T00:00:00"/>
    <x v="3"/>
    <s v="#AppleMusic #AppleLifestyle"/>
    <n v="2117"/>
    <n v="1133"/>
    <n v="203"/>
    <n v="1173"/>
    <n v="40125"/>
    <n v="85379"/>
    <s v="Apple Event September 2025"/>
    <n v="4.7209537611768888E-2"/>
  </r>
  <r>
    <s v="A257"/>
    <x v="0"/>
    <d v="2025-04-06T00:00:00"/>
    <x v="3"/>
    <s v="#AppleEvent #iPhone16"/>
    <n v="15917"/>
    <n v="1479"/>
    <n v="196"/>
    <n v="313"/>
    <n v="48524"/>
    <n v="249684"/>
    <s v="iPhone 16 Launch"/>
    <n v="8.8597012520018933E-2"/>
  </r>
  <r>
    <s v="A258"/>
    <x v="3"/>
    <d v="2024-08-05T00:00:00"/>
    <x v="2"/>
    <s v="#AppleWatchUltra2 #HealthTech"/>
    <n v="20935"/>
    <n v="1104"/>
    <n v="876"/>
    <n v="1270"/>
    <n v="21454"/>
    <n v="208722"/>
    <s v="Sustainability Awareness Drive"/>
    <n v="0.24928201557808624"/>
  </r>
  <r>
    <s v="A259"/>
    <x v="1"/>
    <d v="2025-02-10T00:00:00"/>
    <x v="3"/>
    <s v="#MacBookAirM3 #AppleInnovation"/>
    <n v="16309"/>
    <n v="1449"/>
    <n v="838"/>
    <n v="2434"/>
    <n v="2940"/>
    <n v="217953"/>
    <s v="iPhone 16 Launch"/>
    <n v="0.10501231054188973"/>
  </r>
  <r>
    <s v="A260"/>
    <x v="0"/>
    <d v="2025-02-12T00:00:00"/>
    <x v="2"/>
    <s v="#MacBookAirM3 #AppleInnovation"/>
    <n v="15234"/>
    <n v="1276"/>
    <n v="670"/>
    <n v="1860"/>
    <n v="60397"/>
    <n v="86413"/>
    <s v="MacBook Air M3 Campaign"/>
    <n v="7.4274226670413529E-2"/>
  </r>
  <r>
    <s v="A261"/>
    <x v="2"/>
    <d v="2024-10-27T00:00:00"/>
    <x v="3"/>
    <s v="#AppleWatchUltra2 #HealthTech"/>
    <n v="7560"/>
    <n v="1139"/>
    <n v="248"/>
    <n v="1624"/>
    <n v="72237"/>
    <n v="177084"/>
    <s v="Sustainability Awareness Drive"/>
    <n v="3.7179865442713421E-2"/>
  </r>
  <r>
    <s v="A262"/>
    <x v="3"/>
    <d v="2025-01-18T00:00:00"/>
    <x v="1"/>
    <s v="#iPhonePhotography #ShotOniPhone"/>
    <n v="22673"/>
    <n v="1053"/>
    <n v="169"/>
    <n v="1566"/>
    <n v="9417"/>
    <n v="221187"/>
    <s v="iPhone 16 Launch"/>
    <n v="0.14879970109287916"/>
  </r>
  <r>
    <s v="A263"/>
    <x v="2"/>
    <d v="2024-08-20T00:00:00"/>
    <x v="1"/>
    <s v="#ShotOniPhone"/>
    <n v="2846"/>
    <n v="792"/>
    <n v="902"/>
    <n v="2469"/>
    <n v="12130"/>
    <n v="47151"/>
    <s v="Apple Watch Ultra 2 Launch"/>
    <n v="1.8218079236606302E-2"/>
  </r>
  <r>
    <s v="A264"/>
    <x v="2"/>
    <d v="2025-01-30T00:00:00"/>
    <x v="1"/>
    <s v="#iPhonePhotography #ShotOniPhone"/>
    <n v="12954"/>
    <n v="913"/>
    <n v="722"/>
    <n v="1049"/>
    <n v="475"/>
    <n v="97716"/>
    <s v="Apple Watch Ultra 2 Launch"/>
    <n v="0.11518965353883082"/>
  </r>
  <r>
    <s v="A265"/>
    <x v="0"/>
    <d v="2025-02-20T00:00:00"/>
    <x v="3"/>
    <s v="#iPhone16Launch #AppleEvent"/>
    <n v="15703"/>
    <n v="1381"/>
    <n v="639"/>
    <n v="984"/>
    <n v="10967"/>
    <n v="133747"/>
    <s v="MacBook Air M3 Campaign"/>
    <n v="0.1120616614186173"/>
  </r>
  <r>
    <s v="A266"/>
    <x v="3"/>
    <d v="2024-11-25T00:00:00"/>
    <x v="2"/>
    <s v="#iPhone16Launch #AppleEvent"/>
    <n v="17385"/>
    <n v="831"/>
    <n v="568"/>
    <n v="2227"/>
    <n v="49351"/>
    <n v="207450"/>
    <s v="Sustainability Awareness Drive"/>
    <n v="8.5973471984474983E-2"/>
  </r>
  <r>
    <s v="A267"/>
    <x v="1"/>
    <d v="2024-10-04T00:00:00"/>
    <x v="2"/>
    <s v="#AppleEvent #iPhone16"/>
    <n v="15746"/>
    <n v="258"/>
    <n v="839"/>
    <n v="2656"/>
    <n v="66614"/>
    <n v="213724"/>
    <s v="Sustainability Awareness Drive"/>
    <n v="7.6633983210865161E-2"/>
  </r>
  <r>
    <s v="A268"/>
    <x v="1"/>
    <d v="2025-04-13T00:00:00"/>
    <x v="3"/>
    <s v="#MacBookProM3"/>
    <n v="24700"/>
    <n v="327"/>
    <n v="999"/>
    <n v="994"/>
    <n v="59400"/>
    <n v="243502"/>
    <s v="Sustainability Awareness Drive"/>
    <n v="0.26238796640756534"/>
  </r>
  <r>
    <s v="A269"/>
    <x v="0"/>
    <d v="2024-11-05T00:00:00"/>
    <x v="1"/>
    <s v="#MacBookProM3"/>
    <n v="8469"/>
    <n v="935"/>
    <n v="211"/>
    <n v="2635"/>
    <n v="21890"/>
    <n v="184539"/>
    <s v="MacBook Air M3 Campaign"/>
    <n v="4.3471380775838682E-2"/>
  </r>
  <r>
    <s v="A270"/>
    <x v="0"/>
    <d v="2025-01-15T00:00:00"/>
    <x v="1"/>
    <s v="#MacBookAirM3 #AppleInnovation"/>
    <n v="11333"/>
    <n v="920"/>
    <n v="294"/>
    <n v="606"/>
    <n v="59490"/>
    <n v="202082"/>
    <s v="Sustainability Awareness Drive"/>
    <n v="7.1475772179877176E-2"/>
  </r>
  <r>
    <s v="A271"/>
    <x v="3"/>
    <d v="2024-10-17T00:00:00"/>
    <x v="2"/>
    <s v="#AppleDesign #Innovation"/>
    <n v="18608"/>
    <n v="1338"/>
    <n v="365"/>
    <n v="2289"/>
    <n v="20785"/>
    <n v="161999"/>
    <s v="Apple Watch Ultra 2 Launch"/>
    <n v="9.1594550595493096E-2"/>
  </r>
  <r>
    <s v="A272"/>
    <x v="1"/>
    <d v="2025-03-27T00:00:00"/>
    <x v="1"/>
    <s v="#iPhonePhotography #ShotOniPhone"/>
    <n v="14819"/>
    <n v="1432"/>
    <n v="152"/>
    <n v="961"/>
    <n v="39154"/>
    <n v="154793"/>
    <s v="iPhone 16 Launch"/>
    <n v="9.2490470712948553E-2"/>
  </r>
  <r>
    <s v="A273"/>
    <x v="1"/>
    <d v="2024-10-12T00:00:00"/>
    <x v="0"/>
    <s v="#Sustainability #AppleEarth"/>
    <n v="6208"/>
    <n v="725"/>
    <n v="309"/>
    <n v="848"/>
    <n v="39319"/>
    <n v="225763"/>
    <s v="Apple Watch Ultra 2 Launch"/>
    <n v="4.4051630798428207E-2"/>
  </r>
  <r>
    <s v="A274"/>
    <x v="1"/>
    <d v="2025-01-01T00:00:00"/>
    <x v="2"/>
    <s v="#AppleMusic #AppleLifestyle"/>
    <n v="8283"/>
    <n v="720"/>
    <n v="888"/>
    <n v="611"/>
    <n v="52791"/>
    <n v="235229"/>
    <s v="Apple Watch Ultra 2 Launch"/>
    <n v="3.9757060284742712E-2"/>
  </r>
  <r>
    <s v="A275"/>
    <x v="2"/>
    <d v="2024-08-05T00:00:00"/>
    <x v="1"/>
    <s v="#AppleWatch #Health"/>
    <n v="4048"/>
    <n v="751"/>
    <n v="930"/>
    <n v="1382"/>
    <n v="16844"/>
    <n v="148177"/>
    <s v="iPhone 16 Launch"/>
    <n v="2.4354990243549902E-2"/>
  </r>
  <r>
    <s v="A276"/>
    <x v="1"/>
    <d v="2024-06-07T00:00:00"/>
    <x v="2"/>
    <s v="#AppleEvent #iPadPro"/>
    <n v="8233"/>
    <n v="436"/>
    <n v="269"/>
    <n v="2037"/>
    <n v="8875"/>
    <n v="52289"/>
    <s v="Apple Watch Ultra 2 Launch"/>
    <n v="4.9605949605949606E-2"/>
  </r>
  <r>
    <s v="A277"/>
    <x v="2"/>
    <d v="2025-04-06T00:00:00"/>
    <x v="0"/>
    <s v="#MacBookProM3"/>
    <n v="14941"/>
    <n v="1424"/>
    <n v="238"/>
    <n v="1054"/>
    <n v="20516"/>
    <n v="216048"/>
    <s v="MacBook Air M3 Campaign"/>
    <n v="0.19446233851415454"/>
  </r>
  <r>
    <s v="A278"/>
    <x v="3"/>
    <d v="2024-11-26T00:00:00"/>
    <x v="2"/>
    <s v="#AppleMusic #AppleLifestyle"/>
    <n v="14607"/>
    <n v="1458"/>
    <n v="478"/>
    <n v="334"/>
    <n v="49257"/>
    <n v="214668"/>
    <s v="iPhone 16 Launch"/>
    <n v="7.8419939892109186E-2"/>
  </r>
  <r>
    <s v="A279"/>
    <x v="2"/>
    <d v="2024-09-02T00:00:00"/>
    <x v="2"/>
    <s v="#AppleEvent #iPadPro"/>
    <n v="11765"/>
    <n v="693"/>
    <n v="729"/>
    <n v="744"/>
    <n v="97772"/>
    <n v="194243"/>
    <s v="Apple Watch Ultra 2 Launch"/>
    <n v="5.4329196947973828E-2"/>
  </r>
  <r>
    <s v="A280"/>
    <x v="3"/>
    <d v="2025-09-18T00:00:00"/>
    <x v="2"/>
    <s v="#AppleMusic #AppleLifestyle"/>
    <n v="3828"/>
    <n v="203"/>
    <n v="506"/>
    <n v="2440"/>
    <n v="63650"/>
    <n v="126365"/>
    <s v="Apple Event September 2025"/>
    <n v="2.0974236407428126E-2"/>
  </r>
  <r>
    <s v="A281"/>
    <x v="1"/>
    <d v="2025-03-22T00:00:00"/>
    <x v="2"/>
    <s v="#AppleEvent #iPhone16"/>
    <n v="3917"/>
    <n v="865"/>
    <n v="759"/>
    <n v="2282"/>
    <n v="56125"/>
    <n v="154014"/>
    <s v="Apple Watch Ultra 2 Launch"/>
    <n v="3.7394467427468499E-2"/>
  </r>
  <r>
    <s v="A282"/>
    <x v="1"/>
    <d v="2024-10-03T00:00:00"/>
    <x v="0"/>
    <s v="#AppleEvent #iPadPro"/>
    <n v="22618"/>
    <n v="641"/>
    <n v="416"/>
    <n v="1530"/>
    <n v="18395"/>
    <n v="215211"/>
    <s v="MacBook Air M3 Campaign"/>
    <n v="0.11357530750484524"/>
  </r>
  <r>
    <s v="A283"/>
    <x v="3"/>
    <d v="2025-05-09T00:00:00"/>
    <x v="3"/>
    <s v="#AppleWatch #Health"/>
    <n v="8988"/>
    <n v="228"/>
    <n v="766"/>
    <n v="652"/>
    <n v="63789"/>
    <n v="219785"/>
    <s v="Sustainability Awareness Drive"/>
    <n v="4.576044302636887E-2"/>
  </r>
  <r>
    <s v="A284"/>
    <x v="0"/>
    <d v="2024-09-17T00:00:00"/>
    <x v="2"/>
    <s v="#AppleMusic #AppleLifestyle"/>
    <n v="20410"/>
    <n v="1332"/>
    <n v="472"/>
    <n v="1202"/>
    <n v="9418"/>
    <n v="200806"/>
    <s v="Apple Watch Ultra 2 Launch"/>
    <n v="0.14423364109756256"/>
  </r>
  <r>
    <s v="A285"/>
    <x v="3"/>
    <d v="2024-07-18T00:00:00"/>
    <x v="2"/>
    <s v="#AppleWatchUltra2 #HealthTech"/>
    <n v="16594"/>
    <n v="809"/>
    <n v="784"/>
    <n v="1655"/>
    <n v="35505"/>
    <n v="112588"/>
    <s v="Sustainability Awareness Drive"/>
    <n v="0.14392434614014957"/>
  </r>
  <r>
    <s v="A286"/>
    <x v="0"/>
    <d v="2025-09-19T00:00:00"/>
    <x v="1"/>
    <s v="#AppleWatch #Health"/>
    <n v="22128"/>
    <n v="1004"/>
    <n v="690"/>
    <n v="2048"/>
    <n v="19443"/>
    <n v="103646"/>
    <s v="Apple Event September 2025"/>
    <n v="9.7818767143537599E-2"/>
  </r>
  <r>
    <s v="A287"/>
    <x v="2"/>
    <d v="2024-08-15T00:00:00"/>
    <x v="2"/>
    <s v="#AppleEvent #iPadPro"/>
    <n v="14977"/>
    <n v="274"/>
    <n v="798"/>
    <n v="458"/>
    <n v="6636"/>
    <n v="43654"/>
    <s v="Apple Watch Ultra 2 Launch"/>
    <n v="6.7689880892128088E-2"/>
  </r>
  <r>
    <s v="A288"/>
    <x v="2"/>
    <d v="2025-04-17T00:00:00"/>
    <x v="1"/>
    <s v="#AppleWatch #Health"/>
    <n v="2009"/>
    <n v="1037"/>
    <n v="344"/>
    <n v="2277"/>
    <n v="85743"/>
    <n v="58743"/>
    <s v="iPhone 16 Launch"/>
    <n v="1.6446011963382155E-2"/>
  </r>
  <r>
    <s v="A289"/>
    <x v="2"/>
    <d v="2024-11-28T00:00:00"/>
    <x v="3"/>
    <s v="#AppleMusic #AppleLifestyle"/>
    <n v="18644"/>
    <n v="1369"/>
    <n v="887"/>
    <n v="1256"/>
    <n v="43415"/>
    <n v="88368"/>
    <s v="Sustainability Awareness Drive"/>
    <n v="0.13084170657651736"/>
  </r>
  <r>
    <s v="A290"/>
    <x v="1"/>
    <d v="2025-09-20T00:00:00"/>
    <x v="0"/>
    <s v="#ShotOniPhone"/>
    <n v="24422"/>
    <n v="327"/>
    <n v="481"/>
    <n v="2371"/>
    <n v="35340"/>
    <n v="245244"/>
    <s v="Apple Event September 2025"/>
    <n v="0.11175436187506367"/>
  </r>
  <r>
    <s v="A291"/>
    <x v="2"/>
    <d v="2024-11-06T00:00:00"/>
    <x v="0"/>
    <s v="#AppleMusic #AppleLifestyle"/>
    <n v="11865"/>
    <n v="241"/>
    <n v="319"/>
    <n v="703"/>
    <n v="69596"/>
    <n v="177513"/>
    <s v="iPhone 16 Launch"/>
    <n v="5.1547674857595656E-2"/>
  </r>
  <r>
    <s v="A292"/>
    <x v="0"/>
    <d v="2024-11-17T00:00:00"/>
    <x v="3"/>
    <s v="#AppleMusic #AppleLifestyle"/>
    <n v="4219"/>
    <n v="240"/>
    <n v="670"/>
    <n v="815"/>
    <n v="11978"/>
    <n v="159735"/>
    <s v="iPhone 16 Launch"/>
    <n v="2.7258860857041118E-2"/>
  </r>
  <r>
    <s v="A293"/>
    <x v="2"/>
    <d v="2025-05-14T00:00:00"/>
    <x v="0"/>
    <s v="#AppleEvent #iPhone16"/>
    <n v="9041"/>
    <n v="1133"/>
    <n v="612"/>
    <n v="1687"/>
    <n v="28102"/>
    <n v="195683"/>
    <s v="iPhone 16 Launch"/>
    <n v="5.4891143930218121E-2"/>
  </r>
  <r>
    <s v="A294"/>
    <x v="3"/>
    <d v="2024-06-19T00:00:00"/>
    <x v="3"/>
    <s v="#iPhonePhotography #ShotOniPhone"/>
    <n v="20444"/>
    <n v="233"/>
    <n v="189"/>
    <n v="2879"/>
    <n v="28185"/>
    <n v="159891"/>
    <s v="iPhone 16 Launch"/>
    <n v="0.10216111943440753"/>
  </r>
  <r>
    <s v="A295"/>
    <x v="3"/>
    <d v="2025-05-06T00:00:00"/>
    <x v="3"/>
    <s v="#AppleWatchUltra2 #HealthTech"/>
    <n v="7287"/>
    <n v="1240"/>
    <n v="686"/>
    <n v="1255"/>
    <n v="15403"/>
    <n v="147971"/>
    <s v="Apple Watch Ultra 2 Launch"/>
    <n v="5.0444876392805323E-2"/>
  </r>
  <r>
    <s v="A296"/>
    <x v="1"/>
    <d v="2025-02-11T00:00:00"/>
    <x v="3"/>
    <s v="#Sustainability #AppleEarth"/>
    <n v="3619"/>
    <n v="1376"/>
    <n v="410"/>
    <n v="2499"/>
    <n v="58146"/>
    <n v="52149"/>
    <s v="Apple Watch Ultra 2 Launch"/>
    <n v="2.2408139067274166E-2"/>
  </r>
  <r>
    <s v="A297"/>
    <x v="3"/>
    <d v="2024-12-24T00:00:00"/>
    <x v="0"/>
    <s v="#MacBookProM3"/>
    <n v="10512"/>
    <n v="1197"/>
    <n v="544"/>
    <n v="2012"/>
    <n v="10245"/>
    <n v="140102"/>
    <s v="Apple Watch Ultra 2 Launch"/>
    <n v="5.4956538899703082E-2"/>
  </r>
  <r>
    <s v="A298"/>
    <x v="0"/>
    <d v="2025-09-24T00:00:00"/>
    <x v="1"/>
    <s v="#iPhone16Launch #AppleEvent"/>
    <n v="3342"/>
    <n v="787"/>
    <n v="375"/>
    <n v="907"/>
    <n v="85823"/>
    <n v="99189"/>
    <s v="Apple Event September 2025"/>
    <n v="1.9081754131767478E-2"/>
  </r>
  <r>
    <s v="A299"/>
    <x v="2"/>
    <d v="2025-09-25T00:00:00"/>
    <x v="3"/>
    <s v="#iPhonePhotography #ShotOniPhone"/>
    <n v="12568"/>
    <n v="541"/>
    <n v="273"/>
    <n v="2767"/>
    <n v="22331"/>
    <n v="192747"/>
    <s v="Apple Event September 2025"/>
    <n v="5.3827063162933259E-2"/>
  </r>
  <r>
    <s v="A300"/>
    <x v="1"/>
    <d v="2025-09-26T00:00:00"/>
    <x v="2"/>
    <s v="#iPhone16Launch #AppleEvent"/>
    <n v="21216"/>
    <n v="226"/>
    <n v="187"/>
    <n v="1573"/>
    <n v="62688"/>
    <n v="111031"/>
    <s v="Apple Event September 2025"/>
    <n v="0.1092064870541665"/>
  </r>
  <r>
    <m/>
    <x v="4"/>
    <m/>
    <x v="4"/>
    <m/>
    <m/>
    <m/>
    <m/>
    <m/>
    <m/>
    <m/>
    <m/>
    <m/>
  </r>
  <r>
    <m/>
    <x v="4"/>
    <m/>
    <x v="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5FFF0-AF23-4879-A3A1-1F94D6A718C1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22" firstHeaderRow="1" firstDataRow="1" firstDataCol="1"/>
  <pivotFields count="3">
    <pivotField showAll="0"/>
    <pivotField axis="axisRow" dataField="1" showAll="0" sortType="descending">
      <items count="21">
        <item x="9"/>
        <item x="7"/>
        <item x="3"/>
        <item x="14"/>
        <item x="5"/>
        <item x="4"/>
        <item x="11"/>
        <item x="16"/>
        <item x="12"/>
        <item x="17"/>
        <item x="10"/>
        <item x="15"/>
        <item x="8"/>
        <item x="2"/>
        <item x="0"/>
        <item x="13"/>
        <item x="18"/>
        <item x="1"/>
        <item x="6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"/>
  </rowFields>
  <rowItems count="19">
    <i>
      <x v="2"/>
    </i>
    <i>
      <x v="17"/>
    </i>
    <i>
      <x v="6"/>
    </i>
    <i>
      <x v="8"/>
    </i>
    <i>
      <x v="5"/>
    </i>
    <i>
      <x v="4"/>
    </i>
    <i>
      <x v="12"/>
    </i>
    <i>
      <x v="13"/>
    </i>
    <i>
      <x v="15"/>
    </i>
    <i>
      <x v="3"/>
    </i>
    <i>
      <x v="10"/>
    </i>
    <i>
      <x v="14"/>
    </i>
    <i>
      <x/>
    </i>
    <i>
      <x v="7"/>
    </i>
    <i>
      <x v="9"/>
    </i>
    <i>
      <x v="11"/>
    </i>
    <i>
      <x v="16"/>
    </i>
    <i>
      <x v="18"/>
    </i>
    <i>
      <x v="1"/>
    </i>
  </rowItems>
  <colItems count="1">
    <i/>
  </colItems>
  <dataFields count="1">
    <dataField name="Count of Hashtags" fld="1" subtotal="count" baseField="1" baseItem="0"/>
  </dataFields>
  <formats count="2">
    <format dxfId="2">
      <pivotArea field="1" type="button" dataOnly="0" labelOnly="1" outline="0" axis="axisRow" fieldPosition="0"/>
    </format>
    <format dxfId="1">
      <pivotArea dataOnly="0" labelOnly="1" outline="0" axis="axisValues" fieldPosition="0"/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4F977-A116-44E7-961D-FA8B18181977}" name="PivotTable2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22" firstHeaderRow="1" firstDataRow="1" firstDataCol="1"/>
  <pivotFields count="3">
    <pivotField showAll="0"/>
    <pivotField axis="axisRow" showAll="0" sortType="descending">
      <items count="21">
        <item x="9"/>
        <item x="7"/>
        <item x="3"/>
        <item x="14"/>
        <item x="5"/>
        <item x="4"/>
        <item x="11"/>
        <item x="16"/>
        <item x="12"/>
        <item x="17"/>
        <item x="10"/>
        <item x="15"/>
        <item x="8"/>
        <item x="2"/>
        <item x="0"/>
        <item x="13"/>
        <item x="18"/>
        <item x="1"/>
        <item x="6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19">
    <i>
      <x v="2"/>
    </i>
    <i>
      <x v="17"/>
    </i>
    <i>
      <x v="8"/>
    </i>
    <i>
      <x v="6"/>
    </i>
    <i>
      <x v="13"/>
    </i>
    <i>
      <x v="12"/>
    </i>
    <i>
      <x v="5"/>
    </i>
    <i>
      <x v="4"/>
    </i>
    <i>
      <x v="15"/>
    </i>
    <i>
      <x v="3"/>
    </i>
    <i>
      <x v="14"/>
    </i>
    <i>
      <x v="7"/>
    </i>
    <i>
      <x v="9"/>
    </i>
    <i>
      <x v="10"/>
    </i>
    <i>
      <x/>
    </i>
    <i>
      <x v="11"/>
    </i>
    <i>
      <x v="16"/>
    </i>
    <i>
      <x v="18"/>
    </i>
    <i>
      <x v="1"/>
    </i>
  </rowItems>
  <colItems count="1">
    <i/>
  </colItems>
  <dataFields count="1">
    <dataField name="Sum of Clicks" fld="2" baseField="0" baseItem="0"/>
  </dataFields>
  <conditionalFormats count="2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C5D94-4F49-430E-AE8C-67F1D3852E1A}" name="PivotTable4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3:E8" firstHeaderRow="1" firstDataRow="2" firstDataCol="1"/>
  <pivotFields count="13">
    <pivotField showAll="0"/>
    <pivotField axis="axisCol" showAll="0">
      <items count="6">
        <item x="2"/>
        <item x="1"/>
        <item x="3"/>
        <item x="0"/>
        <item x="4"/>
        <item t="default"/>
      </items>
    </pivotField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>
      <x v="3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Average of Engagement Rate" fld="12" subtotal="average" baseField="3" baseItem="0" numFmtId="165"/>
  </dataFields>
  <formats count="1">
    <format dxfId="0">
      <pivotArea outline="0" collapsedLevelsAreSubtotals="1" fieldPosition="0"/>
    </format>
  </formats>
  <chartFormats count="1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D78F0-9E61-4470-B5FE-6A015CA2B2CB}" name="Table2" displayName="Table2" ref="A1:L301" totalsRowShown="0" headerRowDxfId="55" dataDxfId="53" headerRowBorderDxfId="54" tableBorderDxfId="52" totalsRowBorderDxfId="51">
  <autoFilter ref="A1:L301" xr:uid="{78CD78F0-9E61-4470-B5FE-6A015CA2B2CB}"/>
  <tableColumns count="12">
    <tableColumn id="1" xr3:uid="{8286E941-0437-4259-922D-04BC8269503F}" name="PostID" dataDxfId="50"/>
    <tableColumn id="2" xr3:uid="{96386100-6D89-4AFD-8985-CF9D2ADBC687}" name="Platform" dataDxfId="49"/>
    <tableColumn id="3" xr3:uid="{ECDE1863-C88E-4170-BEB9-8541EF6A5266}" name="Date" dataDxfId="48"/>
    <tableColumn id="4" xr3:uid="{1CA07925-5CF3-4116-A1FC-47A6833CBBAF}" name="ContentType" dataDxfId="47"/>
    <tableColumn id="5" xr3:uid="{2BDD59D3-5B45-40EF-9158-BD2728713A22}" name="Hashtags" dataDxfId="46"/>
    <tableColumn id="6" xr3:uid="{675A3AC8-0DB0-47A2-A367-0C699F3AF7DE}" name="Likes" dataDxfId="45"/>
    <tableColumn id="7" xr3:uid="{911E87D6-FC22-4625-8CE9-33834B5C5CD6}" name="Shares" dataDxfId="44"/>
    <tableColumn id="8" xr3:uid="{6348B80B-7442-4E13-8C64-90E75BCC9086}" name="Comments" dataDxfId="43"/>
    <tableColumn id="9" xr3:uid="{9E5DEA36-A715-4CE6-8C40-46E8A67A8D65}" name="Clicks" dataDxfId="42"/>
    <tableColumn id="10" xr3:uid="{1AB97368-E25C-45B7-9355-56A256E0C671}" name="Reach" dataDxfId="41"/>
    <tableColumn id="11" xr3:uid="{B63FB328-7EEC-4D4A-A3BD-963CE670302C}" name="Impressions" dataDxfId="40"/>
    <tableColumn id="12" xr3:uid="{D05F6FC8-54A3-4D04-BB4C-DBE0B50FA9D1}" name="Campaign" dataDxfId="3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E6F15D-D7DF-4C34-9734-6667547960F7}" name="Table7" displayName="Table7" ref="M1:M301" totalsRowShown="0" headerRowDxfId="38" dataDxfId="36" headerRowBorderDxfId="37" tableBorderDxfId="35" totalsRowBorderDxfId="34">
  <autoFilter ref="M1:M301" xr:uid="{42E6F15D-D7DF-4C34-9734-6667547960F7}"/>
  <tableColumns count="1">
    <tableColumn id="1" xr3:uid="{FAC67454-CF7A-4F8A-A88C-92D78BD6E8DE}" name="Engagement Rate" dataDxfId="33">
      <calculatedColumnFormula>(F2+G2+H2)/[1]!Table23[[#This Row],[Impressions]]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391034-0993-425E-8E65-FA172B0F8FB2}" name="Table3" displayName="Table3" ref="A1:G201" totalsRowShown="0" headerRowDxfId="32" dataDxfId="30" headerRowBorderDxfId="31" tableBorderDxfId="29" totalsRowBorderDxfId="28">
  <autoFilter ref="A1:G201" xr:uid="{88391034-0993-425E-8E65-FA172B0F8FB2}"/>
  <tableColumns count="7">
    <tableColumn id="1" xr3:uid="{4C191433-72E0-4BBB-A587-782B5E902211}" name="Week_Start_Date" dataDxfId="27"/>
    <tableColumn id="2" xr3:uid="{4AF53C7A-5353-4384-BF61-F8BC3A34F9B7}" name="Platform" dataDxfId="26"/>
    <tableColumn id="3" xr3:uid="{FABBB1F0-2D76-405B-A5C4-5DE211825D4C}" name="New_Followers" dataDxfId="25"/>
    <tableColumn id="4" xr3:uid="{69D0B13C-ABCB-4290-96E3-F793C291DFB8}" name="Unfollows" dataDxfId="24"/>
    <tableColumn id="5" xr3:uid="{A77F288C-2FAA-4376-A790-B347DF9AD36F}" name="Total_Followers" dataDxfId="23"/>
    <tableColumn id="6" xr3:uid="{94DD79F7-D4B5-40F1-B4ED-FB4E4191B2BE}" name="Engagement_Rate" dataDxfId="22"/>
    <tableColumn id="7" xr3:uid="{788D239B-5F67-49C3-9A8F-0D97CFEA3168}" name="Ad_Spend" dataDxfId="21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D87AE9-848B-44CC-8D8F-D42D08EBCA61}" name="Table4" displayName="Table4" ref="A1:G6" totalsRowShown="0" headerRowBorderDxfId="20" tableBorderDxfId="19" totalsRowBorderDxfId="18">
  <autoFilter ref="A1:G6" xr:uid="{8CD87AE9-848B-44CC-8D8F-D42D08EBCA61}"/>
  <tableColumns count="7">
    <tableColumn id="1" xr3:uid="{8421CE68-8E65-4FF1-B949-1B2110F34AF3}" name="Campaign_Name" dataDxfId="17"/>
    <tableColumn id="2" xr3:uid="{90E60C49-B8CB-4697-8B77-E0F72AC7F789}" name="Start_Date" dataDxfId="16"/>
    <tableColumn id="3" xr3:uid="{BD8B1D85-7277-4681-B3D5-86C63AD4A135}" name="End_Date" dataDxfId="15"/>
    <tableColumn id="4" xr3:uid="{DF710A31-54D1-4B43-BEDD-3216639406DA}" name="Objective" dataDxfId="14"/>
    <tableColumn id="5" xr3:uid="{C53AB76F-3051-4A9A-9CEE-90BCF2D9F050}" name="Ad_Spend" dataDxfId="13"/>
    <tableColumn id="6" xr3:uid="{4481F3C7-AA06-4F95-8509-B388949403EC}" name="Impressions" dataDxfId="12"/>
    <tableColumn id="7" xr3:uid="{9D6BBA1D-BE46-4C9C-8FCA-BDDF0D57F8D0}" name="Engagement_Uplift" dataDxfId="11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584BA5-A046-4EA9-A935-30346366595B}" name="Table5" displayName="Table5" ref="F1:H568" headerRowBorderDxfId="10" tableBorderDxfId="9" headerRowCellStyle="Accent1">
  <autoFilter ref="F1:H568" xr:uid="{D7584BA5-A046-4EA9-A935-30346366595B}"/>
  <tableColumns count="3">
    <tableColumn id="1" xr3:uid="{06DACE1C-0D8B-4E64-B4DB-43EDFF7C110A}" name="PostID" totalsRowLabel="Total" dataDxfId="8" totalsRowDxfId="7"/>
    <tableColumn id="2" xr3:uid="{3C8485CC-83F0-4813-B08F-6B624DC9D428}" name="Hashtags"/>
    <tableColumn id="3" xr3:uid="{C8B49266-8A9B-4B3B-BA7E-5CA4EC9EA809}" name="Clicks" totalsRowFunction="sum" dataDxfId="6" totalsRowDxfId="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1E81D8-C574-431F-BD44-FC1BD9DF6FA8}" name="Table18" displayName="Table18" ref="A1:D301" totalsRowShown="0">
  <autoFilter ref="A1:D301" xr:uid="{6D1E81D8-C574-431F-BD44-FC1BD9DF6FA8}"/>
  <tableColumns count="4">
    <tableColumn id="1" xr3:uid="{854453A3-2F1E-4B24-83E3-AD0101D44B37}" name="PostID" dataDxfId="4"/>
    <tableColumn id="2" xr3:uid="{29AA493A-65B6-475C-B4FE-E4DC19C72209}" name="Hashtags" dataDxfId="3"/>
    <tableColumn id="3" xr3:uid="{A238E639-0486-45E9-A8FE-10B73336EFAA}" name="Hashtag1"/>
    <tableColumn id="4" xr3:uid="{8AB0E11A-E931-47E1-80C2-5ADF390A858D}" name="Hashtag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D5291-E18B-4878-9F64-CC10756F7146}">
  <dimension ref="D3:J15"/>
  <sheetViews>
    <sheetView tabSelected="1" workbookViewId="0">
      <selection activeCell="H14" sqref="H14"/>
    </sheetView>
  </sheetViews>
  <sheetFormatPr defaultRowHeight="14.4" x14ac:dyDescent="0.3"/>
  <cols>
    <col min="3" max="3" width="7.5546875" customWidth="1"/>
    <col min="4" max="5" width="8.88671875" hidden="1" customWidth="1"/>
    <col min="6" max="6" width="43.6640625" customWidth="1"/>
    <col min="7" max="7" width="17.77734375" customWidth="1"/>
    <col min="8" max="8" width="36" customWidth="1"/>
    <col min="9" max="9" width="42.88671875" customWidth="1"/>
    <col min="10" max="10" width="28.6640625" customWidth="1"/>
  </cols>
  <sheetData>
    <row r="3" spans="5:10" ht="25.8" x14ac:dyDescent="0.5">
      <c r="E3" s="4"/>
      <c r="F3" s="4"/>
      <c r="I3" s="54" t="s">
        <v>387</v>
      </c>
    </row>
    <row r="6" spans="5:10" ht="65.400000000000006" customHeight="1" x14ac:dyDescent="0.3">
      <c r="H6" s="52" t="s">
        <v>383</v>
      </c>
      <c r="I6" s="45"/>
      <c r="J6" s="53" t="s">
        <v>385</v>
      </c>
    </row>
    <row r="8" spans="5:10" ht="61.2" customHeight="1" x14ac:dyDescent="0.3">
      <c r="H8" s="53" t="s">
        <v>384</v>
      </c>
      <c r="J8" s="52" t="s">
        <v>386</v>
      </c>
    </row>
    <row r="9" spans="5:10" ht="48.6" customHeight="1" x14ac:dyDescent="0.3">
      <c r="I9" s="46" t="s">
        <v>388</v>
      </c>
    </row>
    <row r="11" spans="5:10" x14ac:dyDescent="0.3">
      <c r="I11" s="44" t="s">
        <v>374</v>
      </c>
    </row>
    <row r="12" spans="5:10" ht="0.6" customHeight="1" x14ac:dyDescent="0.3">
      <c r="I12" s="44" t="s">
        <v>375</v>
      </c>
    </row>
    <row r="13" spans="5:10" x14ac:dyDescent="0.3">
      <c r="I13" s="44" t="s">
        <v>32</v>
      </c>
    </row>
    <row r="14" spans="5:10" x14ac:dyDescent="0.3">
      <c r="I14" s="44" t="s">
        <v>367</v>
      </c>
    </row>
    <row r="15" spans="5:10" x14ac:dyDescent="0.3">
      <c r="I15" s="44" t="s">
        <v>368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80AB-6FCE-49E9-984B-439D4879FEA7}">
  <dimension ref="A1:N302"/>
  <sheetViews>
    <sheetView workbookViewId="0">
      <selection activeCell="D1" sqref="A1:XFD1048576"/>
    </sheetView>
  </sheetViews>
  <sheetFormatPr defaultColWidth="18.6640625" defaultRowHeight="14.4" x14ac:dyDescent="0.3"/>
  <cols>
    <col min="6" max="11" width="18.6640625" style="13"/>
    <col min="13" max="13" width="18.88671875" customWidth="1"/>
  </cols>
  <sheetData>
    <row r="1" spans="1:14" ht="16.2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47" t="s">
        <v>381</v>
      </c>
      <c r="N1" s="5"/>
    </row>
    <row r="2" spans="1:14" ht="16.2" customHeight="1" thickBot="1" x14ac:dyDescent="0.35">
      <c r="A2" s="6" t="s">
        <v>12</v>
      </c>
      <c r="B2" s="6" t="s">
        <v>13</v>
      </c>
      <c r="C2" s="7">
        <v>45649</v>
      </c>
      <c r="D2" s="6" t="s">
        <v>14</v>
      </c>
      <c r="E2" s="6" t="s">
        <v>15</v>
      </c>
      <c r="F2" s="8">
        <v>24516</v>
      </c>
      <c r="G2" s="8">
        <v>976</v>
      </c>
      <c r="H2" s="8">
        <v>974</v>
      </c>
      <c r="I2" s="8">
        <v>2675</v>
      </c>
      <c r="J2" s="8">
        <v>23275</v>
      </c>
      <c r="K2" s="8">
        <v>202932</v>
      </c>
      <c r="L2" s="6" t="s">
        <v>16</v>
      </c>
      <c r="M2" s="48">
        <f>(F2+G2+H2)/[1]!Table23[[#This Row],[Impressions]]</f>
        <v>0.53094469075370632</v>
      </c>
    </row>
    <row r="3" spans="1:14" ht="16.2" customHeight="1" thickBot="1" x14ac:dyDescent="0.35">
      <c r="A3" s="6" t="s">
        <v>17</v>
      </c>
      <c r="B3" s="6" t="s">
        <v>18</v>
      </c>
      <c r="C3" s="9">
        <v>45903</v>
      </c>
      <c r="D3" s="6" t="s">
        <v>14</v>
      </c>
      <c r="E3" s="6" t="s">
        <v>19</v>
      </c>
      <c r="F3" s="8">
        <v>4779</v>
      </c>
      <c r="G3" s="8">
        <v>1110</v>
      </c>
      <c r="H3" s="8">
        <v>436</v>
      </c>
      <c r="I3" s="8">
        <v>1574</v>
      </c>
      <c r="J3" s="8">
        <v>77167</v>
      </c>
      <c r="K3" s="8">
        <v>71585</v>
      </c>
      <c r="L3" s="6" t="s">
        <v>20</v>
      </c>
      <c r="M3" s="48">
        <f>(F3+G3+H3)/[1]!Table23[[#This Row],[Impressions]]</f>
        <v>0.14465077985637836</v>
      </c>
    </row>
    <row r="4" spans="1:14" ht="16.2" customHeight="1" thickBot="1" x14ac:dyDescent="0.35">
      <c r="A4" s="6" t="s">
        <v>21</v>
      </c>
      <c r="B4" s="6" t="s">
        <v>22</v>
      </c>
      <c r="C4" s="7">
        <v>45789</v>
      </c>
      <c r="D4" s="6" t="s">
        <v>23</v>
      </c>
      <c r="E4" s="6" t="s">
        <v>24</v>
      </c>
      <c r="F4" s="8">
        <v>19308</v>
      </c>
      <c r="G4" s="8">
        <v>1318</v>
      </c>
      <c r="H4" s="8">
        <v>795</v>
      </c>
      <c r="I4" s="8">
        <v>1499</v>
      </c>
      <c r="J4" s="8">
        <v>52307</v>
      </c>
      <c r="K4" s="8">
        <v>193087</v>
      </c>
      <c r="L4" s="6" t="s">
        <v>25</v>
      </c>
      <c r="M4" s="48">
        <f>(F4+G4+H4)/[1]!Table23[[#This Row],[Impressions]]</f>
        <v>0.45997423233841528</v>
      </c>
    </row>
    <row r="5" spans="1:14" ht="16.2" customHeight="1" thickBot="1" x14ac:dyDescent="0.35">
      <c r="A5" s="6" t="s">
        <v>26</v>
      </c>
      <c r="B5" s="6" t="s">
        <v>13</v>
      </c>
      <c r="C5" s="7">
        <v>45516</v>
      </c>
      <c r="D5" s="6" t="s">
        <v>27</v>
      </c>
      <c r="E5" s="6" t="s">
        <v>28</v>
      </c>
      <c r="F5" s="8">
        <v>3581</v>
      </c>
      <c r="G5" s="8">
        <v>517</v>
      </c>
      <c r="H5" s="8">
        <v>880</v>
      </c>
      <c r="I5" s="8">
        <v>1925</v>
      </c>
      <c r="J5" s="8">
        <v>18636</v>
      </c>
      <c r="K5" s="8">
        <v>248611</v>
      </c>
      <c r="L5" s="6" t="s">
        <v>29</v>
      </c>
      <c r="M5" s="48">
        <f>(F5+G5+H5)/[1]!Table23[[#This Row],[Impressions]]</f>
        <v>7.9127656530654414E-2</v>
      </c>
    </row>
    <row r="6" spans="1:14" ht="16.2" customHeight="1" thickBot="1" x14ac:dyDescent="0.35">
      <c r="A6" s="6" t="s">
        <v>30</v>
      </c>
      <c r="B6" s="6" t="s">
        <v>13</v>
      </c>
      <c r="C6" s="9">
        <v>45904</v>
      </c>
      <c r="D6" s="6" t="s">
        <v>27</v>
      </c>
      <c r="E6" s="6" t="s">
        <v>15</v>
      </c>
      <c r="F6" s="8">
        <v>21708</v>
      </c>
      <c r="G6" s="8">
        <v>435</v>
      </c>
      <c r="H6" s="8">
        <v>317</v>
      </c>
      <c r="I6" s="8">
        <v>1213</v>
      </c>
      <c r="J6" s="8">
        <v>70701</v>
      </c>
      <c r="K6" s="8">
        <v>83585</v>
      </c>
      <c r="L6" s="6" t="s">
        <v>20</v>
      </c>
      <c r="M6" s="48">
        <f>(F6+G6+H6)/[1]!Table23[[#This Row],[Impressions]]</f>
        <v>0.38872927411817648</v>
      </c>
    </row>
    <row r="7" spans="1:14" ht="16.2" customHeight="1" thickBot="1" x14ac:dyDescent="0.35">
      <c r="A7" s="6" t="s">
        <v>31</v>
      </c>
      <c r="B7" s="6" t="s">
        <v>18</v>
      </c>
      <c r="C7" s="9">
        <v>45905</v>
      </c>
      <c r="D7" s="6" t="s">
        <v>14</v>
      </c>
      <c r="E7" s="6" t="s">
        <v>32</v>
      </c>
      <c r="F7" s="8">
        <v>14677</v>
      </c>
      <c r="G7" s="8">
        <v>533</v>
      </c>
      <c r="H7" s="8">
        <v>759</v>
      </c>
      <c r="I7" s="8">
        <v>753</v>
      </c>
      <c r="J7" s="8">
        <v>23275</v>
      </c>
      <c r="K7" s="8">
        <v>66958</v>
      </c>
      <c r="L7" s="6" t="s">
        <v>20</v>
      </c>
      <c r="M7" s="48">
        <f>(F7+G7+H7)/[1]!Table23[[#This Row],[Impressions]]</f>
        <v>0.32516799022602322</v>
      </c>
    </row>
    <row r="8" spans="1:14" ht="16.2" customHeight="1" thickBot="1" x14ac:dyDescent="0.35">
      <c r="A8" s="6" t="s">
        <v>33</v>
      </c>
      <c r="B8" s="6" t="s">
        <v>22</v>
      </c>
      <c r="C8" s="7">
        <v>45467</v>
      </c>
      <c r="D8" s="6" t="s">
        <v>34</v>
      </c>
      <c r="E8" s="6" t="s">
        <v>35</v>
      </c>
      <c r="F8" s="8">
        <v>7713</v>
      </c>
      <c r="G8" s="8">
        <v>575</v>
      </c>
      <c r="H8" s="8">
        <v>417</v>
      </c>
      <c r="I8" s="8">
        <v>336</v>
      </c>
      <c r="J8" s="8">
        <v>61660</v>
      </c>
      <c r="K8" s="8">
        <v>66017</v>
      </c>
      <c r="L8" s="6" t="s">
        <v>29</v>
      </c>
      <c r="M8" s="48">
        <f>(F8+G8+H8)/[1]!Table23[[#This Row],[Impressions]]</f>
        <v>0.19940898886699959</v>
      </c>
    </row>
    <row r="9" spans="1:14" ht="16.2" customHeight="1" thickBot="1" x14ac:dyDescent="0.35">
      <c r="A9" s="6" t="s">
        <v>36</v>
      </c>
      <c r="B9" s="6" t="s">
        <v>22</v>
      </c>
      <c r="C9" s="7">
        <v>45486</v>
      </c>
      <c r="D9" s="6" t="s">
        <v>27</v>
      </c>
      <c r="E9" s="6" t="s">
        <v>37</v>
      </c>
      <c r="F9" s="8">
        <v>18639</v>
      </c>
      <c r="G9" s="8">
        <v>1360</v>
      </c>
      <c r="H9" s="8">
        <v>898</v>
      </c>
      <c r="I9" s="8">
        <v>2011</v>
      </c>
      <c r="J9" s="8">
        <v>42841</v>
      </c>
      <c r="K9" s="8">
        <v>247779</v>
      </c>
      <c r="L9" s="6" t="s">
        <v>29</v>
      </c>
      <c r="M9" s="48">
        <f>(F9+G9+H9)/[1]!Table23[[#This Row],[Impressions]]</f>
        <v>0.29288837809048607</v>
      </c>
    </row>
    <row r="10" spans="1:14" ht="16.2" customHeight="1" thickBot="1" x14ac:dyDescent="0.35">
      <c r="A10" s="6" t="s">
        <v>38</v>
      </c>
      <c r="B10" s="6" t="s">
        <v>13</v>
      </c>
      <c r="C10" s="7">
        <v>45534</v>
      </c>
      <c r="D10" s="6" t="s">
        <v>34</v>
      </c>
      <c r="E10" s="6" t="s">
        <v>19</v>
      </c>
      <c r="F10" s="8">
        <v>6804</v>
      </c>
      <c r="G10" s="8">
        <v>787</v>
      </c>
      <c r="H10" s="8">
        <v>970</v>
      </c>
      <c r="I10" s="8">
        <v>1095</v>
      </c>
      <c r="J10" s="8">
        <v>56343</v>
      </c>
      <c r="K10" s="8">
        <v>164677</v>
      </c>
      <c r="L10" s="6" t="s">
        <v>16</v>
      </c>
      <c r="M10" s="48">
        <f>(F10+G10+H10)/[1]!Table23[[#This Row],[Impressions]]</f>
        <v>0.13889609968200403</v>
      </c>
    </row>
    <row r="11" spans="1:14" ht="16.2" customHeight="1" thickBot="1" x14ac:dyDescent="0.35">
      <c r="A11" s="6" t="s">
        <v>39</v>
      </c>
      <c r="B11" s="6" t="s">
        <v>40</v>
      </c>
      <c r="C11" s="7">
        <v>45727</v>
      </c>
      <c r="D11" s="6" t="s">
        <v>27</v>
      </c>
      <c r="E11" s="6" t="s">
        <v>41</v>
      </c>
      <c r="F11" s="8">
        <v>20222</v>
      </c>
      <c r="G11" s="8">
        <v>712</v>
      </c>
      <c r="H11" s="8">
        <v>604</v>
      </c>
      <c r="I11" s="8">
        <v>1272</v>
      </c>
      <c r="J11" s="8">
        <v>71598</v>
      </c>
      <c r="K11" s="8">
        <v>216422</v>
      </c>
      <c r="L11" s="6" t="s">
        <v>25</v>
      </c>
      <c r="M11" s="48">
        <f>(F11+G11+H11)/[1]!Table23[[#This Row],[Impressions]]</f>
        <v>0.31140027470541459</v>
      </c>
    </row>
    <row r="12" spans="1:14" ht="16.2" customHeight="1" thickBot="1" x14ac:dyDescent="0.35">
      <c r="A12" s="6" t="s">
        <v>42</v>
      </c>
      <c r="B12" s="6" t="s">
        <v>13</v>
      </c>
      <c r="C12" s="7">
        <v>45690</v>
      </c>
      <c r="D12" s="6" t="s">
        <v>34</v>
      </c>
      <c r="E12" s="6" t="s">
        <v>28</v>
      </c>
      <c r="F12" s="8">
        <v>12136</v>
      </c>
      <c r="G12" s="8">
        <v>1117</v>
      </c>
      <c r="H12" s="8">
        <v>834</v>
      </c>
      <c r="I12" s="8">
        <v>892</v>
      </c>
      <c r="J12" s="8">
        <v>24675</v>
      </c>
      <c r="K12" s="8">
        <v>183273</v>
      </c>
      <c r="L12" s="6" t="s">
        <v>25</v>
      </c>
      <c r="M12" s="48">
        <f>(F12+G12+H12)/[1]!Table23[[#This Row],[Impressions]]</f>
        <v>0.1903725826722705</v>
      </c>
    </row>
    <row r="13" spans="1:14" ht="16.2" customHeight="1" thickBot="1" x14ac:dyDescent="0.35">
      <c r="A13" s="6" t="s">
        <v>43</v>
      </c>
      <c r="B13" s="6" t="s">
        <v>13</v>
      </c>
      <c r="C13" s="7">
        <v>45494</v>
      </c>
      <c r="D13" s="6" t="s">
        <v>23</v>
      </c>
      <c r="E13" s="6" t="s">
        <v>19</v>
      </c>
      <c r="F13" s="8">
        <v>2009</v>
      </c>
      <c r="G13" s="8">
        <v>1072</v>
      </c>
      <c r="H13" s="8">
        <v>550</v>
      </c>
      <c r="I13" s="8">
        <v>1437</v>
      </c>
      <c r="J13" s="8">
        <v>22982</v>
      </c>
      <c r="K13" s="8">
        <v>69426</v>
      </c>
      <c r="L13" s="6" t="s">
        <v>29</v>
      </c>
      <c r="M13" s="48">
        <f>(F13+G13+H13)/[1]!Table23[[#This Row],[Impressions]]</f>
        <v>7.9446000350078774E-2</v>
      </c>
    </row>
    <row r="14" spans="1:14" ht="16.2" customHeight="1" thickBot="1" x14ac:dyDescent="0.35">
      <c r="A14" s="6" t="s">
        <v>44</v>
      </c>
      <c r="B14" s="6" t="s">
        <v>13</v>
      </c>
      <c r="C14" s="7">
        <v>45614</v>
      </c>
      <c r="D14" s="6" t="s">
        <v>34</v>
      </c>
      <c r="E14" s="6" t="s">
        <v>35</v>
      </c>
      <c r="F14" s="8">
        <v>21255</v>
      </c>
      <c r="G14" s="8">
        <v>1452</v>
      </c>
      <c r="H14" s="8">
        <v>625</v>
      </c>
      <c r="I14" s="8">
        <v>1624</v>
      </c>
      <c r="J14" s="8">
        <v>21282</v>
      </c>
      <c r="K14" s="8">
        <v>57778</v>
      </c>
      <c r="L14" s="6" t="s">
        <v>45</v>
      </c>
      <c r="M14" s="48">
        <f>(F14+G14+H14)/[1]!Table23[[#This Row],[Impressions]]</f>
        <v>0.30335179551187041</v>
      </c>
    </row>
    <row r="15" spans="1:14" ht="16.2" customHeight="1" thickBot="1" x14ac:dyDescent="0.35">
      <c r="A15" s="6" t="s">
        <v>46</v>
      </c>
      <c r="B15" s="6" t="s">
        <v>13</v>
      </c>
      <c r="C15" s="9">
        <v>45906</v>
      </c>
      <c r="D15" s="6" t="s">
        <v>23</v>
      </c>
      <c r="E15" s="6" t="s">
        <v>37</v>
      </c>
      <c r="F15" s="8">
        <v>7124</v>
      </c>
      <c r="G15" s="8">
        <v>469</v>
      </c>
      <c r="H15" s="8">
        <v>851</v>
      </c>
      <c r="I15" s="8">
        <v>2571</v>
      </c>
      <c r="J15" s="8">
        <v>33802</v>
      </c>
      <c r="K15" s="8">
        <v>216313</v>
      </c>
      <c r="L15" s="6" t="s">
        <v>20</v>
      </c>
      <c r="M15" s="48">
        <f>(F15+G15+H15)/[1]!Table23[[#This Row],[Impressions]]</f>
        <v>0.13486232671053472</v>
      </c>
    </row>
    <row r="16" spans="1:14" ht="16.2" customHeight="1" thickBot="1" x14ac:dyDescent="0.35">
      <c r="A16" s="6" t="s">
        <v>47</v>
      </c>
      <c r="B16" s="6" t="s">
        <v>18</v>
      </c>
      <c r="C16" s="9">
        <v>45907</v>
      </c>
      <c r="D16" s="6" t="s">
        <v>23</v>
      </c>
      <c r="E16" s="6" t="s">
        <v>24</v>
      </c>
      <c r="F16" s="8">
        <v>3015</v>
      </c>
      <c r="G16" s="8">
        <v>997</v>
      </c>
      <c r="H16" s="8">
        <v>783</v>
      </c>
      <c r="I16" s="8">
        <v>617</v>
      </c>
      <c r="J16" s="8">
        <v>77167</v>
      </c>
      <c r="K16" s="8">
        <v>82229</v>
      </c>
      <c r="L16" s="6" t="s">
        <v>20</v>
      </c>
      <c r="M16" s="48">
        <f>(F16+G16+H16)/[1]!Table23[[#This Row],[Impressions]]</f>
        <v>8.0577401357800629E-2</v>
      </c>
    </row>
    <row r="17" spans="1:13" ht="16.2" customHeight="1" thickBot="1" x14ac:dyDescent="0.35">
      <c r="A17" s="6" t="s">
        <v>48</v>
      </c>
      <c r="B17" s="6" t="s">
        <v>22</v>
      </c>
      <c r="C17" s="7">
        <v>45530</v>
      </c>
      <c r="D17" s="6" t="s">
        <v>34</v>
      </c>
      <c r="E17" s="6" t="s">
        <v>37</v>
      </c>
      <c r="F17" s="8">
        <v>4193</v>
      </c>
      <c r="G17" s="8">
        <v>924</v>
      </c>
      <c r="H17" s="8">
        <v>707</v>
      </c>
      <c r="I17" s="8">
        <v>2696</v>
      </c>
      <c r="J17" s="8">
        <v>55075</v>
      </c>
      <c r="K17" s="8">
        <v>126652</v>
      </c>
      <c r="L17" s="6" t="s">
        <v>29</v>
      </c>
      <c r="M17" s="48">
        <f>(F17+G17+H17)/[1]!Table23[[#This Row],[Impressions]]</f>
        <v>9.0873628859866745E-2</v>
      </c>
    </row>
    <row r="18" spans="1:13" ht="16.2" customHeight="1" thickBot="1" x14ac:dyDescent="0.35">
      <c r="A18" s="6" t="s">
        <v>49</v>
      </c>
      <c r="B18" s="6" t="s">
        <v>18</v>
      </c>
      <c r="C18" s="7">
        <v>45782</v>
      </c>
      <c r="D18" s="6" t="s">
        <v>23</v>
      </c>
      <c r="E18" s="6" t="s">
        <v>50</v>
      </c>
      <c r="F18" s="8">
        <v>10415</v>
      </c>
      <c r="G18" s="8">
        <v>1388</v>
      </c>
      <c r="H18" s="8">
        <v>725</v>
      </c>
      <c r="I18" s="8">
        <v>2462</v>
      </c>
      <c r="J18" s="8">
        <v>53082</v>
      </c>
      <c r="K18" s="8">
        <v>168267</v>
      </c>
      <c r="L18" s="6" t="s">
        <v>45</v>
      </c>
      <c r="M18" s="48">
        <f>(F18+G18+H18)/[1]!Table23[[#This Row],[Impressions]]</f>
        <v>0.23343084462166241</v>
      </c>
    </row>
    <row r="19" spans="1:13" ht="16.2" customHeight="1" thickBot="1" x14ac:dyDescent="0.35">
      <c r="A19" s="6" t="s">
        <v>51</v>
      </c>
      <c r="B19" s="6" t="s">
        <v>18</v>
      </c>
      <c r="C19" s="7">
        <v>45523</v>
      </c>
      <c r="D19" s="6" t="s">
        <v>14</v>
      </c>
      <c r="E19" s="6" t="s">
        <v>37</v>
      </c>
      <c r="F19" s="8">
        <v>15550</v>
      </c>
      <c r="G19" s="8">
        <v>204</v>
      </c>
      <c r="H19" s="8">
        <v>279</v>
      </c>
      <c r="I19" s="8">
        <v>1646</v>
      </c>
      <c r="J19" s="8">
        <v>35819</v>
      </c>
      <c r="K19" s="8">
        <v>219436</v>
      </c>
      <c r="L19" s="6" t="s">
        <v>16</v>
      </c>
      <c r="M19" s="48">
        <f>(F19+G19+H19)/[1]!Table23[[#This Row],[Impressions]]</f>
        <v>0.2423550752021767</v>
      </c>
    </row>
    <row r="20" spans="1:13" ht="16.2" customHeight="1" thickBot="1" x14ac:dyDescent="0.35">
      <c r="A20" s="6" t="s">
        <v>52</v>
      </c>
      <c r="B20" s="6" t="s">
        <v>18</v>
      </c>
      <c r="C20" s="7">
        <v>45466</v>
      </c>
      <c r="D20" s="6" t="s">
        <v>23</v>
      </c>
      <c r="E20" s="6" t="s">
        <v>50</v>
      </c>
      <c r="F20" s="8">
        <v>16512</v>
      </c>
      <c r="G20" s="8">
        <v>1050</v>
      </c>
      <c r="H20" s="8">
        <v>971</v>
      </c>
      <c r="I20" s="8">
        <v>1891</v>
      </c>
      <c r="J20" s="8">
        <v>15865</v>
      </c>
      <c r="K20" s="8">
        <v>166503</v>
      </c>
      <c r="L20" s="6" t="s">
        <v>29</v>
      </c>
      <c r="M20" s="48">
        <f>(F20+G20+H20)/[1]!Table23[[#This Row],[Impressions]]</f>
        <v>0.42397968521229867</v>
      </c>
    </row>
    <row r="21" spans="1:13" ht="16.2" customHeight="1" thickBot="1" x14ac:dyDescent="0.35">
      <c r="A21" s="6" t="s">
        <v>53</v>
      </c>
      <c r="B21" s="6" t="s">
        <v>13</v>
      </c>
      <c r="C21" s="7">
        <v>45544</v>
      </c>
      <c r="D21" s="6" t="s">
        <v>27</v>
      </c>
      <c r="E21" s="6" t="s">
        <v>24</v>
      </c>
      <c r="F21" s="8">
        <v>6158</v>
      </c>
      <c r="G21" s="8">
        <v>277</v>
      </c>
      <c r="H21" s="8">
        <v>512</v>
      </c>
      <c r="I21" s="8">
        <v>2189</v>
      </c>
      <c r="J21" s="8">
        <v>76881</v>
      </c>
      <c r="K21" s="8">
        <v>124878</v>
      </c>
      <c r="L21" s="6" t="s">
        <v>29</v>
      </c>
      <c r="M21" s="48">
        <f>(F21+G21+H21)/[1]!Table23[[#This Row],[Impressions]]</f>
        <v>0.13831757093081135</v>
      </c>
    </row>
    <row r="22" spans="1:13" ht="16.2" customHeight="1" thickBot="1" x14ac:dyDescent="0.35">
      <c r="A22" s="6" t="s">
        <v>54</v>
      </c>
      <c r="B22" s="6" t="s">
        <v>40</v>
      </c>
      <c r="C22" s="9">
        <v>45908</v>
      </c>
      <c r="D22" s="6" t="s">
        <v>34</v>
      </c>
      <c r="E22" s="6" t="s">
        <v>55</v>
      </c>
      <c r="F22" s="8">
        <v>22309</v>
      </c>
      <c r="G22" s="8">
        <v>773</v>
      </c>
      <c r="H22" s="8">
        <v>854</v>
      </c>
      <c r="I22" s="8">
        <v>2387</v>
      </c>
      <c r="J22" s="8">
        <v>72396</v>
      </c>
      <c r="K22" s="8">
        <v>97056</v>
      </c>
      <c r="L22" s="6" t="s">
        <v>20</v>
      </c>
      <c r="M22" s="48">
        <f>(F22+G22+H22)/[1]!Table23[[#This Row],[Impressions]]</f>
        <v>0.28636717114314769</v>
      </c>
    </row>
    <row r="23" spans="1:13" ht="16.2" customHeight="1" thickBot="1" x14ac:dyDescent="0.35">
      <c r="A23" s="6" t="s">
        <v>56</v>
      </c>
      <c r="B23" s="6" t="s">
        <v>22</v>
      </c>
      <c r="C23" s="7">
        <v>45715</v>
      </c>
      <c r="D23" s="6" t="s">
        <v>14</v>
      </c>
      <c r="E23" s="6" t="s">
        <v>35</v>
      </c>
      <c r="F23" s="8">
        <v>8970</v>
      </c>
      <c r="G23" s="8">
        <v>331</v>
      </c>
      <c r="H23" s="8">
        <v>968</v>
      </c>
      <c r="I23" s="8">
        <v>2296</v>
      </c>
      <c r="J23" s="8">
        <v>24613</v>
      </c>
      <c r="K23" s="8">
        <v>198562</v>
      </c>
      <c r="L23" s="6" t="s">
        <v>29</v>
      </c>
      <c r="M23" s="48">
        <f>(F23+G23+H23)/[1]!Table23[[#This Row],[Impressions]]</f>
        <v>0.18481723449057827</v>
      </c>
    </row>
    <row r="24" spans="1:13" ht="16.2" customHeight="1" thickBot="1" x14ac:dyDescent="0.35">
      <c r="A24" s="6" t="s">
        <v>57</v>
      </c>
      <c r="B24" s="6" t="s">
        <v>40</v>
      </c>
      <c r="C24" s="7">
        <v>45602</v>
      </c>
      <c r="D24" s="6" t="s">
        <v>34</v>
      </c>
      <c r="E24" s="6" t="s">
        <v>50</v>
      </c>
      <c r="F24" s="8">
        <v>8938</v>
      </c>
      <c r="G24" s="8">
        <v>800</v>
      </c>
      <c r="H24" s="8">
        <v>842</v>
      </c>
      <c r="I24" s="8">
        <v>2072</v>
      </c>
      <c r="J24" s="8">
        <v>31736</v>
      </c>
      <c r="K24" s="8">
        <v>59975</v>
      </c>
      <c r="L24" s="6" t="s">
        <v>29</v>
      </c>
      <c r="M24" s="48">
        <f>(F24+G24+H24)/[1]!Table23[[#This Row],[Impressions]]</f>
        <v>0.15417122040072859</v>
      </c>
    </row>
    <row r="25" spans="1:13" ht="16.2" customHeight="1" thickBot="1" x14ac:dyDescent="0.35">
      <c r="A25" s="6" t="s">
        <v>58</v>
      </c>
      <c r="B25" s="6" t="s">
        <v>18</v>
      </c>
      <c r="C25" s="7">
        <v>45680</v>
      </c>
      <c r="D25" s="6" t="s">
        <v>27</v>
      </c>
      <c r="E25" s="6" t="s">
        <v>41</v>
      </c>
      <c r="F25" s="8">
        <v>23168</v>
      </c>
      <c r="G25" s="8">
        <v>1265</v>
      </c>
      <c r="H25" s="8">
        <v>441</v>
      </c>
      <c r="I25" s="8">
        <v>1612</v>
      </c>
      <c r="J25" s="8">
        <v>66615</v>
      </c>
      <c r="K25" s="8">
        <v>197795</v>
      </c>
      <c r="L25" s="6" t="s">
        <v>29</v>
      </c>
      <c r="M25" s="48">
        <f>(F25+G25+H25)/[1]!Table23[[#This Row],[Impressions]]</f>
        <v>0.37954132779956362</v>
      </c>
    </row>
    <row r="26" spans="1:13" ht="16.2" customHeight="1" thickBot="1" x14ac:dyDescent="0.35">
      <c r="A26" s="6" t="s">
        <v>59</v>
      </c>
      <c r="B26" s="6" t="s">
        <v>18</v>
      </c>
      <c r="C26" s="9">
        <v>45909</v>
      </c>
      <c r="D26" s="6" t="s">
        <v>27</v>
      </c>
      <c r="E26" s="6" t="s">
        <v>37</v>
      </c>
      <c r="F26" s="8">
        <v>15772</v>
      </c>
      <c r="G26" s="8">
        <v>288</v>
      </c>
      <c r="H26" s="8">
        <v>520</v>
      </c>
      <c r="I26" s="8">
        <v>1585</v>
      </c>
      <c r="J26" s="8">
        <v>59182</v>
      </c>
      <c r="K26" s="8">
        <v>194351</v>
      </c>
      <c r="L26" s="6" t="s">
        <v>20</v>
      </c>
      <c r="M26" s="48">
        <f>(F26+G26+H26)/[1]!Table23[[#This Row],[Impressions]]</f>
        <v>0.17082921200131881</v>
      </c>
    </row>
    <row r="27" spans="1:13" ht="16.2" customHeight="1" thickBot="1" x14ac:dyDescent="0.35">
      <c r="A27" s="6" t="s">
        <v>60</v>
      </c>
      <c r="B27" s="6" t="s">
        <v>40</v>
      </c>
      <c r="C27" s="7">
        <v>45752</v>
      </c>
      <c r="D27" s="6" t="s">
        <v>27</v>
      </c>
      <c r="E27" s="6" t="s">
        <v>37</v>
      </c>
      <c r="F27" s="8">
        <v>22384</v>
      </c>
      <c r="G27" s="8">
        <v>601</v>
      </c>
      <c r="H27" s="8">
        <v>943</v>
      </c>
      <c r="I27" s="8">
        <v>515</v>
      </c>
      <c r="J27" s="8">
        <v>41309</v>
      </c>
      <c r="K27" s="8">
        <v>249373</v>
      </c>
      <c r="L27" s="6" t="s">
        <v>16</v>
      </c>
      <c r="M27" s="48">
        <f>(F27+G27+H27)/[1]!Table23[[#This Row],[Impressions]]</f>
        <v>0.37042541333828721</v>
      </c>
    </row>
    <row r="28" spans="1:13" ht="16.2" customHeight="1" thickBot="1" x14ac:dyDescent="0.35">
      <c r="A28" s="6" t="s">
        <v>61</v>
      </c>
      <c r="B28" s="6" t="s">
        <v>40</v>
      </c>
      <c r="C28" s="7">
        <v>45552</v>
      </c>
      <c r="D28" s="6" t="s">
        <v>23</v>
      </c>
      <c r="E28" s="6" t="s">
        <v>41</v>
      </c>
      <c r="F28" s="8">
        <v>20017</v>
      </c>
      <c r="G28" s="8">
        <v>495</v>
      </c>
      <c r="H28" s="8">
        <v>178</v>
      </c>
      <c r="I28" s="8">
        <v>2683</v>
      </c>
      <c r="J28" s="8">
        <v>32244</v>
      </c>
      <c r="K28" s="8">
        <v>182633</v>
      </c>
      <c r="L28" s="6" t="s">
        <v>16</v>
      </c>
      <c r="M28" s="48">
        <f>(F28+G28+H28)/[1]!Table23[[#This Row],[Impressions]]</f>
        <v>0.27243041108155797</v>
      </c>
    </row>
    <row r="29" spans="1:13" ht="16.2" customHeight="1" thickBot="1" x14ac:dyDescent="0.35">
      <c r="A29" s="6" t="s">
        <v>62</v>
      </c>
      <c r="B29" s="6" t="s">
        <v>40</v>
      </c>
      <c r="C29" s="7">
        <v>45720</v>
      </c>
      <c r="D29" s="6" t="s">
        <v>23</v>
      </c>
      <c r="E29" s="6" t="s">
        <v>32</v>
      </c>
      <c r="F29" s="8">
        <v>12344</v>
      </c>
      <c r="G29" s="8">
        <v>815</v>
      </c>
      <c r="H29" s="8">
        <v>298</v>
      </c>
      <c r="I29" s="8">
        <v>2439</v>
      </c>
      <c r="J29" s="8">
        <v>6259</v>
      </c>
      <c r="K29" s="8">
        <v>237133</v>
      </c>
      <c r="L29" s="6" t="s">
        <v>29</v>
      </c>
      <c r="M29" s="48">
        <f>(F29+G29+H29)/[1]!Table23[[#This Row],[Impressions]]</f>
        <v>0.13008342274937409</v>
      </c>
    </row>
    <row r="30" spans="1:13" ht="16.2" customHeight="1" thickBot="1" x14ac:dyDescent="0.35">
      <c r="A30" s="6" t="s">
        <v>63</v>
      </c>
      <c r="B30" s="6" t="s">
        <v>18</v>
      </c>
      <c r="C30" s="9">
        <v>45910</v>
      </c>
      <c r="D30" s="6" t="s">
        <v>34</v>
      </c>
      <c r="E30" s="6" t="s">
        <v>64</v>
      </c>
      <c r="F30" s="8">
        <v>9266</v>
      </c>
      <c r="G30" s="8">
        <v>999</v>
      </c>
      <c r="H30" s="8">
        <v>928</v>
      </c>
      <c r="I30" s="8">
        <v>2700</v>
      </c>
      <c r="J30" s="8">
        <v>12264</v>
      </c>
      <c r="K30" s="8">
        <v>128397</v>
      </c>
      <c r="L30" s="6" t="s">
        <v>20</v>
      </c>
      <c r="M30" s="48">
        <f>(F30+G30+H30)/[1]!Table23[[#This Row],[Impressions]]</f>
        <v>0.10693199839501691</v>
      </c>
    </row>
    <row r="31" spans="1:13" ht="16.2" customHeight="1" thickBot="1" x14ac:dyDescent="0.35">
      <c r="A31" s="6" t="s">
        <v>65</v>
      </c>
      <c r="B31" s="6" t="s">
        <v>18</v>
      </c>
      <c r="C31" s="7">
        <v>45713</v>
      </c>
      <c r="D31" s="6" t="s">
        <v>34</v>
      </c>
      <c r="E31" s="6" t="s">
        <v>55</v>
      </c>
      <c r="F31" s="8">
        <v>10702</v>
      </c>
      <c r="G31" s="8">
        <v>621</v>
      </c>
      <c r="H31" s="8">
        <v>445</v>
      </c>
      <c r="I31" s="8">
        <v>2918</v>
      </c>
      <c r="J31" s="8">
        <v>54808</v>
      </c>
      <c r="K31" s="8">
        <v>220225</v>
      </c>
      <c r="L31" s="6" t="s">
        <v>16</v>
      </c>
      <c r="M31" s="48">
        <f>(F31+G31+H31)/[1]!Table23[[#This Row],[Impressions]]</f>
        <v>0.17575196391767975</v>
      </c>
    </row>
    <row r="32" spans="1:13" ht="16.2" customHeight="1" thickBot="1" x14ac:dyDescent="0.35">
      <c r="A32" s="6" t="s">
        <v>66</v>
      </c>
      <c r="B32" s="6" t="s">
        <v>22</v>
      </c>
      <c r="C32" s="7">
        <v>45642</v>
      </c>
      <c r="D32" s="6" t="s">
        <v>14</v>
      </c>
      <c r="E32" s="6" t="s">
        <v>28</v>
      </c>
      <c r="F32" s="8">
        <v>2384</v>
      </c>
      <c r="G32" s="8">
        <v>1246</v>
      </c>
      <c r="H32" s="8">
        <v>160</v>
      </c>
      <c r="I32" s="8">
        <v>2004</v>
      </c>
      <c r="J32" s="8">
        <v>2701</v>
      </c>
      <c r="K32" s="8">
        <v>73142</v>
      </c>
      <c r="L32" s="6" t="s">
        <v>16</v>
      </c>
      <c r="M32" s="48">
        <f>(F32+G32+H32)/[1]!Table23[[#This Row],[Impressions]]</f>
        <v>4.2888828535216368E-2</v>
      </c>
    </row>
    <row r="33" spans="1:13" ht="16.2" customHeight="1" thickBot="1" x14ac:dyDescent="0.35">
      <c r="A33" s="6" t="s">
        <v>67</v>
      </c>
      <c r="B33" s="6" t="s">
        <v>22</v>
      </c>
      <c r="C33" s="7">
        <v>45504</v>
      </c>
      <c r="D33" s="6" t="s">
        <v>14</v>
      </c>
      <c r="E33" s="6" t="s">
        <v>50</v>
      </c>
      <c r="F33" s="8">
        <v>2404</v>
      </c>
      <c r="G33" s="8">
        <v>774</v>
      </c>
      <c r="H33" s="8">
        <v>661</v>
      </c>
      <c r="I33" s="8">
        <v>662</v>
      </c>
      <c r="J33" s="8">
        <v>12676</v>
      </c>
      <c r="K33" s="8">
        <v>66916</v>
      </c>
      <c r="L33" s="6" t="s">
        <v>16</v>
      </c>
      <c r="M33" s="48">
        <f>(F33+G33+H33)/[1]!Table23[[#This Row],[Impressions]]</f>
        <v>3.5810565002845067E-2</v>
      </c>
    </row>
    <row r="34" spans="1:13" ht="16.2" customHeight="1" thickBot="1" x14ac:dyDescent="0.35">
      <c r="A34" s="6" t="s">
        <v>68</v>
      </c>
      <c r="B34" s="6" t="s">
        <v>18</v>
      </c>
      <c r="C34" s="9">
        <v>45911</v>
      </c>
      <c r="D34" s="6" t="s">
        <v>34</v>
      </c>
      <c r="E34" s="6" t="s">
        <v>41</v>
      </c>
      <c r="F34" s="8">
        <v>10175</v>
      </c>
      <c r="G34" s="8">
        <v>342</v>
      </c>
      <c r="H34" s="8">
        <v>825</v>
      </c>
      <c r="I34" s="8">
        <v>2904</v>
      </c>
      <c r="J34" s="8">
        <v>15954</v>
      </c>
      <c r="K34" s="8">
        <v>104324</v>
      </c>
      <c r="L34" s="6" t="s">
        <v>20</v>
      </c>
      <c r="M34" s="48">
        <f>(F34+G34+H34)/[1]!Table23[[#This Row],[Impressions]]</f>
        <v>0.15452947668160824</v>
      </c>
    </row>
    <row r="35" spans="1:13" ht="16.2" customHeight="1" thickBot="1" x14ac:dyDescent="0.35">
      <c r="A35" s="6" t="s">
        <v>69</v>
      </c>
      <c r="B35" s="6" t="s">
        <v>40</v>
      </c>
      <c r="C35" s="9">
        <v>45912</v>
      </c>
      <c r="D35" s="6" t="s">
        <v>23</v>
      </c>
      <c r="E35" s="6" t="s">
        <v>24</v>
      </c>
      <c r="F35" s="8">
        <v>17158</v>
      </c>
      <c r="G35" s="8">
        <v>1192</v>
      </c>
      <c r="H35" s="8">
        <v>262</v>
      </c>
      <c r="I35" s="8">
        <v>2016</v>
      </c>
      <c r="J35" s="8">
        <v>28771</v>
      </c>
      <c r="K35" s="8">
        <v>216037</v>
      </c>
      <c r="L35" s="6" t="s">
        <v>20</v>
      </c>
      <c r="M35" s="48">
        <f>(F35+G35+H35)/[1]!Table23[[#This Row],[Impressions]]</f>
        <v>0.17957277656638945</v>
      </c>
    </row>
    <row r="36" spans="1:13" ht="16.2" customHeight="1" thickBot="1" x14ac:dyDescent="0.35">
      <c r="A36" s="6" t="s">
        <v>70</v>
      </c>
      <c r="B36" s="6" t="s">
        <v>40</v>
      </c>
      <c r="C36" s="7">
        <v>45626</v>
      </c>
      <c r="D36" s="6" t="s">
        <v>27</v>
      </c>
      <c r="E36" s="6" t="s">
        <v>50</v>
      </c>
      <c r="F36" s="8">
        <v>14763</v>
      </c>
      <c r="G36" s="8">
        <v>864</v>
      </c>
      <c r="H36" s="8">
        <v>336</v>
      </c>
      <c r="I36" s="8">
        <v>1493</v>
      </c>
      <c r="J36" s="8">
        <v>33310</v>
      </c>
      <c r="K36" s="8">
        <v>165932</v>
      </c>
      <c r="L36" s="6" t="s">
        <v>29</v>
      </c>
      <c r="M36" s="48">
        <f>(F36+G36+H36)/[1]!Table23[[#This Row],[Impressions]]</f>
        <v>0.15322812877958877</v>
      </c>
    </row>
    <row r="37" spans="1:13" ht="16.2" customHeight="1" thickBot="1" x14ac:dyDescent="0.35">
      <c r="A37" s="6" t="s">
        <v>71</v>
      </c>
      <c r="B37" s="6" t="s">
        <v>22</v>
      </c>
      <c r="C37" s="7">
        <v>45766</v>
      </c>
      <c r="D37" s="6" t="s">
        <v>34</v>
      </c>
      <c r="E37" s="6" t="s">
        <v>64</v>
      </c>
      <c r="F37" s="8">
        <v>20384</v>
      </c>
      <c r="G37" s="8">
        <v>344</v>
      </c>
      <c r="H37" s="8">
        <v>956</v>
      </c>
      <c r="I37" s="8">
        <v>655</v>
      </c>
      <c r="J37" s="8">
        <v>67621</v>
      </c>
      <c r="K37" s="8">
        <v>175720</v>
      </c>
      <c r="L37" s="6" t="s">
        <v>25</v>
      </c>
      <c r="M37" s="48">
        <f>(F37+G37+H37)/[1]!Table23[[#This Row],[Impressions]]</f>
        <v>0.22469767779240024</v>
      </c>
    </row>
    <row r="38" spans="1:13" ht="16.2" customHeight="1" thickBot="1" x14ac:dyDescent="0.35">
      <c r="A38" s="6" t="s">
        <v>72</v>
      </c>
      <c r="B38" s="6" t="s">
        <v>18</v>
      </c>
      <c r="C38" s="7">
        <v>45663</v>
      </c>
      <c r="D38" s="6" t="s">
        <v>14</v>
      </c>
      <c r="E38" s="6" t="s">
        <v>24</v>
      </c>
      <c r="F38" s="8">
        <v>11860</v>
      </c>
      <c r="G38" s="8">
        <v>1448</v>
      </c>
      <c r="H38" s="8">
        <v>893</v>
      </c>
      <c r="I38" s="8">
        <v>490</v>
      </c>
      <c r="J38" s="8">
        <v>23518</v>
      </c>
      <c r="K38" s="8">
        <v>206205</v>
      </c>
      <c r="L38" s="6" t="s">
        <v>16</v>
      </c>
      <c r="M38" s="48">
        <f>(F38+G38+H38)/[1]!Table23[[#This Row],[Impressions]]</f>
        <v>0.18671031699075719</v>
      </c>
    </row>
    <row r="39" spans="1:13" ht="16.2" customHeight="1" thickBot="1" x14ac:dyDescent="0.35">
      <c r="A39" s="6" t="s">
        <v>73</v>
      </c>
      <c r="B39" s="6" t="s">
        <v>22</v>
      </c>
      <c r="C39" s="7">
        <v>45705</v>
      </c>
      <c r="D39" s="6" t="s">
        <v>23</v>
      </c>
      <c r="E39" s="6" t="s">
        <v>19</v>
      </c>
      <c r="F39" s="8">
        <v>7989</v>
      </c>
      <c r="G39" s="8">
        <v>1206</v>
      </c>
      <c r="H39" s="8">
        <v>376</v>
      </c>
      <c r="I39" s="8">
        <v>2769</v>
      </c>
      <c r="J39" s="8">
        <v>27550</v>
      </c>
      <c r="K39" s="8">
        <v>221749</v>
      </c>
      <c r="L39" s="6" t="s">
        <v>25</v>
      </c>
      <c r="M39" s="48">
        <f>(F39+G39+H39)/[1]!Table23[[#This Row],[Impressions]]</f>
        <v>0.11142933650006404</v>
      </c>
    </row>
    <row r="40" spans="1:13" ht="16.2" customHeight="1" thickBot="1" x14ac:dyDescent="0.35">
      <c r="A40" s="6" t="s">
        <v>74</v>
      </c>
      <c r="B40" s="6" t="s">
        <v>22</v>
      </c>
      <c r="C40" s="9">
        <v>45913</v>
      </c>
      <c r="D40" s="6" t="s">
        <v>34</v>
      </c>
      <c r="E40" s="6" t="s">
        <v>35</v>
      </c>
      <c r="F40" s="8">
        <v>17106</v>
      </c>
      <c r="G40" s="8">
        <v>702</v>
      </c>
      <c r="H40" s="8">
        <v>459</v>
      </c>
      <c r="I40" s="8">
        <v>999</v>
      </c>
      <c r="J40" s="8">
        <v>59627</v>
      </c>
      <c r="K40" s="8">
        <v>136059</v>
      </c>
      <c r="L40" s="6" t="s">
        <v>20</v>
      </c>
      <c r="M40" s="48">
        <f>(F40+G40+H40)/[1]!Table23[[#This Row],[Impressions]]</f>
        <v>0.41408623112843995</v>
      </c>
    </row>
    <row r="41" spans="1:13" ht="16.2" customHeight="1" thickBot="1" x14ac:dyDescent="0.35">
      <c r="A41" s="6" t="s">
        <v>75</v>
      </c>
      <c r="B41" s="6" t="s">
        <v>13</v>
      </c>
      <c r="C41" s="9">
        <v>45914</v>
      </c>
      <c r="D41" s="6" t="s">
        <v>34</v>
      </c>
      <c r="E41" s="6" t="s">
        <v>37</v>
      </c>
      <c r="F41" s="8">
        <v>19844</v>
      </c>
      <c r="G41" s="8">
        <v>1020</v>
      </c>
      <c r="H41" s="8">
        <v>247</v>
      </c>
      <c r="I41" s="8">
        <v>2354</v>
      </c>
      <c r="J41" s="8">
        <v>37792</v>
      </c>
      <c r="K41" s="8">
        <v>138317</v>
      </c>
      <c r="L41" s="6" t="s">
        <v>20</v>
      </c>
      <c r="M41" s="48">
        <f>(F41+G41+H41)/[1]!Table23[[#This Row],[Impressions]]</f>
        <v>0.18633326566458069</v>
      </c>
    </row>
    <row r="42" spans="1:13" ht="16.2" customHeight="1" thickBot="1" x14ac:dyDescent="0.35">
      <c r="A42" s="6" t="s">
        <v>76</v>
      </c>
      <c r="B42" s="6" t="s">
        <v>13</v>
      </c>
      <c r="C42" s="9">
        <v>45915</v>
      </c>
      <c r="D42" s="6" t="s">
        <v>23</v>
      </c>
      <c r="E42" s="6" t="s">
        <v>19</v>
      </c>
      <c r="F42" s="8">
        <v>5636</v>
      </c>
      <c r="G42" s="8">
        <v>303</v>
      </c>
      <c r="H42" s="8">
        <v>204</v>
      </c>
      <c r="I42" s="8">
        <v>2480</v>
      </c>
      <c r="J42" s="8">
        <v>7377</v>
      </c>
      <c r="K42" s="8">
        <v>241207</v>
      </c>
      <c r="L42" s="6" t="s">
        <v>20</v>
      </c>
      <c r="M42" s="48">
        <f>(F42+G42+H42)/[1]!Table23[[#This Row],[Impressions]]</f>
        <v>6.3930979935059529E-2</v>
      </c>
    </row>
    <row r="43" spans="1:13" ht="16.2" customHeight="1" thickBot="1" x14ac:dyDescent="0.35">
      <c r="A43" s="6" t="s">
        <v>77</v>
      </c>
      <c r="B43" s="6" t="s">
        <v>13</v>
      </c>
      <c r="C43" s="7">
        <v>45721</v>
      </c>
      <c r="D43" s="6" t="s">
        <v>34</v>
      </c>
      <c r="E43" s="6" t="s">
        <v>50</v>
      </c>
      <c r="F43" s="8">
        <v>12916</v>
      </c>
      <c r="G43" s="8">
        <v>1262</v>
      </c>
      <c r="H43" s="8">
        <v>772</v>
      </c>
      <c r="I43" s="8">
        <v>856</v>
      </c>
      <c r="J43" s="8">
        <v>11496</v>
      </c>
      <c r="K43" s="8">
        <v>75046</v>
      </c>
      <c r="L43" s="6" t="s">
        <v>25</v>
      </c>
      <c r="M43" s="48">
        <f>(F43+G43+H43)/[1]!Table23[[#This Row],[Impressions]]</f>
        <v>0.13391857392394857</v>
      </c>
    </row>
    <row r="44" spans="1:13" ht="16.2" customHeight="1" thickBot="1" x14ac:dyDescent="0.35">
      <c r="A44" s="6" t="s">
        <v>78</v>
      </c>
      <c r="B44" s="6" t="s">
        <v>40</v>
      </c>
      <c r="C44" s="9">
        <v>45916</v>
      </c>
      <c r="D44" s="6" t="s">
        <v>23</v>
      </c>
      <c r="E44" s="6" t="s">
        <v>64</v>
      </c>
      <c r="F44" s="8">
        <v>6809</v>
      </c>
      <c r="G44" s="8">
        <v>397</v>
      </c>
      <c r="H44" s="8">
        <v>813</v>
      </c>
      <c r="I44" s="8">
        <v>1125</v>
      </c>
      <c r="J44" s="8">
        <v>12206</v>
      </c>
      <c r="K44" s="8">
        <v>218136</v>
      </c>
      <c r="L44" s="6" t="s">
        <v>20</v>
      </c>
      <c r="M44" s="48">
        <f>(F44+G44+H44)/[1]!Table23[[#This Row],[Impressions]]</f>
        <v>0.10685446259627429</v>
      </c>
    </row>
    <row r="45" spans="1:13" ht="16.2" customHeight="1" thickBot="1" x14ac:dyDescent="0.35">
      <c r="A45" s="6" t="s">
        <v>79</v>
      </c>
      <c r="B45" s="6" t="s">
        <v>18</v>
      </c>
      <c r="C45" s="7">
        <v>45718</v>
      </c>
      <c r="D45" s="6" t="s">
        <v>27</v>
      </c>
      <c r="E45" s="6" t="s">
        <v>55</v>
      </c>
      <c r="F45" s="8">
        <v>22562</v>
      </c>
      <c r="G45" s="8">
        <v>778</v>
      </c>
      <c r="H45" s="8">
        <v>907</v>
      </c>
      <c r="I45" s="8">
        <v>1354</v>
      </c>
      <c r="J45" s="8">
        <v>34475</v>
      </c>
      <c r="K45" s="8">
        <v>141459</v>
      </c>
      <c r="L45" s="6" t="s">
        <v>29</v>
      </c>
      <c r="M45" s="48">
        <f>(F45+G45+H45)/[1]!Table23[[#This Row],[Impressions]]</f>
        <v>0.23290684494649683</v>
      </c>
    </row>
    <row r="46" spans="1:13" ht="16.2" customHeight="1" thickBot="1" x14ac:dyDescent="0.35">
      <c r="A46" s="6" t="s">
        <v>80</v>
      </c>
      <c r="B46" s="6" t="s">
        <v>18</v>
      </c>
      <c r="C46" s="9">
        <v>45917</v>
      </c>
      <c r="D46" s="6" t="s">
        <v>23</v>
      </c>
      <c r="E46" s="6" t="s">
        <v>35</v>
      </c>
      <c r="F46" s="8">
        <v>15456</v>
      </c>
      <c r="G46" s="8">
        <v>590</v>
      </c>
      <c r="H46" s="8">
        <v>555</v>
      </c>
      <c r="I46" s="8">
        <v>2882</v>
      </c>
      <c r="J46" s="8">
        <v>49816</v>
      </c>
      <c r="K46" s="8">
        <v>240422</v>
      </c>
      <c r="L46" s="6" t="s">
        <v>20</v>
      </c>
      <c r="M46" s="48">
        <f>(F46+G46+H46)/[1]!Table23[[#This Row],[Impressions]]</f>
        <v>0.1921122979181373</v>
      </c>
    </row>
    <row r="47" spans="1:13" ht="16.2" customHeight="1" thickBot="1" x14ac:dyDescent="0.35">
      <c r="A47" s="6" t="s">
        <v>81</v>
      </c>
      <c r="B47" s="6" t="s">
        <v>18</v>
      </c>
      <c r="C47" s="7">
        <v>45779</v>
      </c>
      <c r="D47" s="6" t="s">
        <v>23</v>
      </c>
      <c r="E47" s="6" t="s">
        <v>50</v>
      </c>
      <c r="F47" s="8">
        <v>17444</v>
      </c>
      <c r="G47" s="8">
        <v>1402</v>
      </c>
      <c r="H47" s="8">
        <v>218</v>
      </c>
      <c r="I47" s="8">
        <v>725</v>
      </c>
      <c r="J47" s="8">
        <v>8710</v>
      </c>
      <c r="K47" s="8">
        <v>85893</v>
      </c>
      <c r="L47" s="6" t="s">
        <v>45</v>
      </c>
      <c r="M47" s="48">
        <f>(F47+G47+H47)/[1]!Table23[[#This Row],[Impressions]]</f>
        <v>0.15685758246459927</v>
      </c>
    </row>
    <row r="48" spans="1:13" ht="16.2" customHeight="1" thickBot="1" x14ac:dyDescent="0.35">
      <c r="A48" s="6" t="s">
        <v>82</v>
      </c>
      <c r="B48" s="6" t="s">
        <v>18</v>
      </c>
      <c r="C48" s="7">
        <v>45712</v>
      </c>
      <c r="D48" s="6" t="s">
        <v>23</v>
      </c>
      <c r="E48" s="6" t="s">
        <v>41</v>
      </c>
      <c r="F48" s="8">
        <v>24984</v>
      </c>
      <c r="G48" s="8">
        <v>753</v>
      </c>
      <c r="H48" s="8">
        <v>461</v>
      </c>
      <c r="I48" s="8">
        <v>2710</v>
      </c>
      <c r="J48" s="8">
        <v>20792</v>
      </c>
      <c r="K48" s="8">
        <v>141520</v>
      </c>
      <c r="L48" s="6" t="s">
        <v>25</v>
      </c>
      <c r="M48" s="48">
        <f>(F48+G48+H48)/[1]!Table23[[#This Row],[Impressions]]</f>
        <v>0.30093618976509101</v>
      </c>
    </row>
    <row r="49" spans="1:13" ht="16.2" customHeight="1" thickBot="1" x14ac:dyDescent="0.35">
      <c r="A49" s="6" t="s">
        <v>83</v>
      </c>
      <c r="B49" s="6" t="s">
        <v>13</v>
      </c>
      <c r="C49" s="7">
        <v>45727</v>
      </c>
      <c r="D49" s="6" t="s">
        <v>34</v>
      </c>
      <c r="E49" s="6" t="s">
        <v>15</v>
      </c>
      <c r="F49" s="8">
        <v>7997</v>
      </c>
      <c r="G49" s="8">
        <v>1238</v>
      </c>
      <c r="H49" s="8">
        <v>438</v>
      </c>
      <c r="I49" s="8">
        <v>1874</v>
      </c>
      <c r="J49" s="8">
        <v>36272</v>
      </c>
      <c r="K49" s="8">
        <v>165818</v>
      </c>
      <c r="L49" s="6" t="s">
        <v>45</v>
      </c>
      <c r="M49" s="48">
        <f>(F49+G49+H49)/[1]!Table23[[#This Row],[Impressions]]</f>
        <v>8.7119813385450912E-2</v>
      </c>
    </row>
    <row r="50" spans="1:13" ht="16.2" customHeight="1" thickBot="1" x14ac:dyDescent="0.35">
      <c r="A50" s="6" t="s">
        <v>84</v>
      </c>
      <c r="B50" s="6" t="s">
        <v>40</v>
      </c>
      <c r="C50" s="9">
        <v>45918</v>
      </c>
      <c r="D50" s="6" t="s">
        <v>34</v>
      </c>
      <c r="E50" s="6" t="s">
        <v>50</v>
      </c>
      <c r="F50" s="8">
        <v>4048</v>
      </c>
      <c r="G50" s="8">
        <v>677</v>
      </c>
      <c r="H50" s="8">
        <v>911</v>
      </c>
      <c r="I50" s="8">
        <v>2429</v>
      </c>
      <c r="J50" s="8">
        <v>27361</v>
      </c>
      <c r="K50" s="8">
        <v>101272</v>
      </c>
      <c r="L50" s="6" t="s">
        <v>20</v>
      </c>
      <c r="M50" s="48">
        <f>(F50+G50+H50)/[1]!Table23[[#This Row],[Impressions]]</f>
        <v>9.4222281663768892E-2</v>
      </c>
    </row>
    <row r="51" spans="1:13" ht="16.2" customHeight="1" thickBot="1" x14ac:dyDescent="0.35">
      <c r="A51" s="6" t="s">
        <v>85</v>
      </c>
      <c r="B51" s="6" t="s">
        <v>40</v>
      </c>
      <c r="C51" s="7">
        <v>45476</v>
      </c>
      <c r="D51" s="6" t="s">
        <v>23</v>
      </c>
      <c r="E51" s="6" t="s">
        <v>35</v>
      </c>
      <c r="F51" s="8">
        <v>14338</v>
      </c>
      <c r="G51" s="8">
        <v>1454</v>
      </c>
      <c r="H51" s="8">
        <v>697</v>
      </c>
      <c r="I51" s="8">
        <v>2703</v>
      </c>
      <c r="J51" s="8">
        <v>21288</v>
      </c>
      <c r="K51" s="8">
        <v>107649</v>
      </c>
      <c r="L51" s="6" t="s">
        <v>29</v>
      </c>
      <c r="M51" s="48">
        <f>(F51+G51+H51)/[1]!Table23[[#This Row],[Impressions]]</f>
        <v>0.2085578406819964</v>
      </c>
    </row>
    <row r="52" spans="1:13" ht="16.2" customHeight="1" thickBot="1" x14ac:dyDescent="0.35">
      <c r="A52" s="6" t="s">
        <v>86</v>
      </c>
      <c r="B52" s="6" t="s">
        <v>13</v>
      </c>
      <c r="C52" s="7">
        <v>45456</v>
      </c>
      <c r="D52" s="6" t="s">
        <v>34</v>
      </c>
      <c r="E52" s="6" t="s">
        <v>37</v>
      </c>
      <c r="F52" s="8">
        <v>23164</v>
      </c>
      <c r="G52" s="8">
        <v>1122</v>
      </c>
      <c r="H52" s="8">
        <v>900</v>
      </c>
      <c r="I52" s="8">
        <v>888</v>
      </c>
      <c r="J52" s="8">
        <v>36938</v>
      </c>
      <c r="K52" s="8">
        <v>104674</v>
      </c>
      <c r="L52" s="6" t="s">
        <v>16</v>
      </c>
      <c r="M52" s="48">
        <f>(F52+G52+H52)/[1]!Table23[[#This Row],[Impressions]]</f>
        <v>0.34712497932631348</v>
      </c>
    </row>
    <row r="53" spans="1:13" ht="16.2" customHeight="1" thickBot="1" x14ac:dyDescent="0.35">
      <c r="A53" s="6" t="s">
        <v>87</v>
      </c>
      <c r="B53" s="6" t="s">
        <v>40</v>
      </c>
      <c r="C53" s="9">
        <v>45919</v>
      </c>
      <c r="D53" s="6" t="s">
        <v>14</v>
      </c>
      <c r="E53" s="6" t="s">
        <v>37</v>
      </c>
      <c r="F53" s="8">
        <v>19100</v>
      </c>
      <c r="G53" s="8">
        <v>619</v>
      </c>
      <c r="H53" s="8">
        <v>297</v>
      </c>
      <c r="I53" s="8">
        <v>2312</v>
      </c>
      <c r="J53" s="8">
        <v>9730</v>
      </c>
      <c r="K53" s="8">
        <v>184832</v>
      </c>
      <c r="L53" s="6" t="s">
        <v>20</v>
      </c>
      <c r="M53" s="48">
        <f>(F53+G53+H53)/[1]!Table23[[#This Row],[Impressions]]</f>
        <v>0.49690921278021893</v>
      </c>
    </row>
    <row r="54" spans="1:13" ht="16.2" customHeight="1" thickBot="1" x14ac:dyDescent="0.35">
      <c r="A54" s="6" t="s">
        <v>88</v>
      </c>
      <c r="B54" s="6" t="s">
        <v>13</v>
      </c>
      <c r="C54" s="7">
        <v>45712</v>
      </c>
      <c r="D54" s="6" t="s">
        <v>14</v>
      </c>
      <c r="E54" s="6" t="s">
        <v>50</v>
      </c>
      <c r="F54" s="8">
        <v>23949</v>
      </c>
      <c r="G54" s="8">
        <v>356</v>
      </c>
      <c r="H54" s="8">
        <v>616</v>
      </c>
      <c r="I54" s="8">
        <v>1847</v>
      </c>
      <c r="J54" s="8">
        <v>3144</v>
      </c>
      <c r="K54" s="8">
        <v>192999</v>
      </c>
      <c r="L54" s="6" t="s">
        <v>29</v>
      </c>
      <c r="M54" s="48">
        <f>(F54+G54+H54)/[1]!Table23[[#This Row],[Impressions]]</f>
        <v>0.17609525155455058</v>
      </c>
    </row>
    <row r="55" spans="1:13" ht="16.2" customHeight="1" thickBot="1" x14ac:dyDescent="0.35">
      <c r="A55" s="6" t="s">
        <v>89</v>
      </c>
      <c r="B55" s="6" t="s">
        <v>18</v>
      </c>
      <c r="C55" s="7">
        <v>45729</v>
      </c>
      <c r="D55" s="6" t="s">
        <v>34</v>
      </c>
      <c r="E55" s="6" t="s">
        <v>24</v>
      </c>
      <c r="F55" s="8">
        <v>6544</v>
      </c>
      <c r="G55" s="8">
        <v>749</v>
      </c>
      <c r="H55" s="8">
        <v>888</v>
      </c>
      <c r="I55" s="8">
        <v>594</v>
      </c>
      <c r="J55" s="8">
        <v>18171</v>
      </c>
      <c r="K55" s="8">
        <v>126475</v>
      </c>
      <c r="L55" s="6" t="s">
        <v>25</v>
      </c>
      <c r="M55" s="48">
        <f>(F55+G55+H55)/[1]!Table23[[#This Row],[Impressions]]</f>
        <v>0.10695935256971772</v>
      </c>
    </row>
    <row r="56" spans="1:13" ht="16.2" customHeight="1" thickBot="1" x14ac:dyDescent="0.35">
      <c r="A56" s="6" t="s">
        <v>90</v>
      </c>
      <c r="B56" s="6" t="s">
        <v>13</v>
      </c>
      <c r="C56" s="7">
        <v>45460</v>
      </c>
      <c r="D56" s="6" t="s">
        <v>34</v>
      </c>
      <c r="E56" s="6" t="s">
        <v>15</v>
      </c>
      <c r="F56" s="8">
        <v>6976</v>
      </c>
      <c r="G56" s="8">
        <v>1320</v>
      </c>
      <c r="H56" s="8">
        <v>393</v>
      </c>
      <c r="I56" s="8">
        <v>2285</v>
      </c>
      <c r="J56" s="8">
        <v>14049</v>
      </c>
      <c r="K56" s="8">
        <v>101367</v>
      </c>
      <c r="L56" s="6" t="s">
        <v>45</v>
      </c>
      <c r="M56" s="48">
        <f>(F56+G56+H56)/[1]!Table23[[#This Row],[Impressions]]</f>
        <v>0.1193888346913258</v>
      </c>
    </row>
    <row r="57" spans="1:13" ht="16.2" customHeight="1" thickBot="1" x14ac:dyDescent="0.35">
      <c r="A57" s="6" t="s">
        <v>91</v>
      </c>
      <c r="B57" s="6" t="s">
        <v>18</v>
      </c>
      <c r="C57" s="7">
        <v>45644</v>
      </c>
      <c r="D57" s="6" t="s">
        <v>23</v>
      </c>
      <c r="E57" s="6" t="s">
        <v>41</v>
      </c>
      <c r="F57" s="8">
        <v>14775</v>
      </c>
      <c r="G57" s="8">
        <v>1220</v>
      </c>
      <c r="H57" s="8">
        <v>640</v>
      </c>
      <c r="I57" s="8">
        <v>1547</v>
      </c>
      <c r="J57" s="8">
        <v>28527</v>
      </c>
      <c r="K57" s="8">
        <v>183660</v>
      </c>
      <c r="L57" s="6" t="s">
        <v>45</v>
      </c>
      <c r="M57" s="48">
        <f>(F57+G57+H57)/[1]!Table23[[#This Row],[Impressions]]</f>
        <v>0.12995180026404393</v>
      </c>
    </row>
    <row r="58" spans="1:13" ht="16.2" customHeight="1" thickBot="1" x14ac:dyDescent="0.35">
      <c r="A58" s="6" t="s">
        <v>92</v>
      </c>
      <c r="B58" s="6" t="s">
        <v>18</v>
      </c>
      <c r="C58" s="7">
        <v>45586</v>
      </c>
      <c r="D58" s="6" t="s">
        <v>27</v>
      </c>
      <c r="E58" s="6" t="s">
        <v>50</v>
      </c>
      <c r="F58" s="8">
        <v>12015</v>
      </c>
      <c r="G58" s="8">
        <v>1196</v>
      </c>
      <c r="H58" s="8">
        <v>998</v>
      </c>
      <c r="I58" s="8">
        <v>1848</v>
      </c>
      <c r="J58" s="8">
        <v>44739</v>
      </c>
      <c r="K58" s="8">
        <v>161750</v>
      </c>
      <c r="L58" s="6" t="s">
        <v>45</v>
      </c>
      <c r="M58" s="48">
        <f>(F58+G58+H58)/[1]!Table23[[#This Row],[Impressions]]</f>
        <v>9.7440047180485934E-2</v>
      </c>
    </row>
    <row r="59" spans="1:13" ht="16.2" customHeight="1" thickBot="1" x14ac:dyDescent="0.35">
      <c r="A59" s="6" t="s">
        <v>93</v>
      </c>
      <c r="B59" s="6" t="s">
        <v>22</v>
      </c>
      <c r="C59" s="7">
        <v>45762</v>
      </c>
      <c r="D59" s="6" t="s">
        <v>34</v>
      </c>
      <c r="E59" s="6" t="s">
        <v>24</v>
      </c>
      <c r="F59" s="8">
        <v>5419</v>
      </c>
      <c r="G59" s="8">
        <v>1150</v>
      </c>
      <c r="H59" s="8">
        <v>656</v>
      </c>
      <c r="I59" s="8">
        <v>1990</v>
      </c>
      <c r="J59" s="8">
        <v>410</v>
      </c>
      <c r="K59" s="8">
        <v>158154</v>
      </c>
      <c r="L59" s="6" t="s">
        <v>25</v>
      </c>
      <c r="M59" s="48">
        <f>(F59+G59+H59)/[1]!Table23[[#This Row],[Impressions]]</f>
        <v>0.1204668611921634</v>
      </c>
    </row>
    <row r="60" spans="1:13" ht="16.2" customHeight="1" thickBot="1" x14ac:dyDescent="0.35">
      <c r="A60" s="6" t="s">
        <v>94</v>
      </c>
      <c r="B60" s="6" t="s">
        <v>13</v>
      </c>
      <c r="C60" s="7">
        <v>45465</v>
      </c>
      <c r="D60" s="6" t="s">
        <v>14</v>
      </c>
      <c r="E60" s="6" t="s">
        <v>37</v>
      </c>
      <c r="F60" s="8">
        <v>16430</v>
      </c>
      <c r="G60" s="8">
        <v>488</v>
      </c>
      <c r="H60" s="8">
        <v>514</v>
      </c>
      <c r="I60" s="8">
        <v>1436</v>
      </c>
      <c r="J60" s="8">
        <v>30059</v>
      </c>
      <c r="K60" s="8">
        <v>223305</v>
      </c>
      <c r="L60" s="6" t="s">
        <v>29</v>
      </c>
      <c r="M60" s="48">
        <f>(F60+G60+H60)/[1]!Table23[[#This Row],[Impressions]]</f>
        <v>0.33449102945409193</v>
      </c>
    </row>
    <row r="61" spans="1:13" ht="16.2" customHeight="1" thickBot="1" x14ac:dyDescent="0.35">
      <c r="A61" s="6" t="s">
        <v>95</v>
      </c>
      <c r="B61" s="6" t="s">
        <v>22</v>
      </c>
      <c r="C61" s="7">
        <v>45685</v>
      </c>
      <c r="D61" s="6" t="s">
        <v>23</v>
      </c>
      <c r="E61" s="6" t="s">
        <v>37</v>
      </c>
      <c r="F61" s="8">
        <v>9239</v>
      </c>
      <c r="G61" s="8">
        <v>1477</v>
      </c>
      <c r="H61" s="8">
        <v>631</v>
      </c>
      <c r="I61" s="8">
        <v>1556</v>
      </c>
      <c r="J61" s="8">
        <v>11580</v>
      </c>
      <c r="K61" s="8">
        <v>84738</v>
      </c>
      <c r="L61" s="6" t="s">
        <v>25</v>
      </c>
      <c r="M61" s="48">
        <f>(F61+G61+H61)/[1]!Table23[[#This Row],[Impressions]]</f>
        <v>0.15188670405718341</v>
      </c>
    </row>
    <row r="62" spans="1:13" ht="16.2" customHeight="1" thickBot="1" x14ac:dyDescent="0.35">
      <c r="A62" s="6" t="s">
        <v>96</v>
      </c>
      <c r="B62" s="6" t="s">
        <v>13</v>
      </c>
      <c r="C62" s="7">
        <v>45540</v>
      </c>
      <c r="D62" s="6" t="s">
        <v>34</v>
      </c>
      <c r="E62" s="6" t="s">
        <v>64</v>
      </c>
      <c r="F62" s="8">
        <v>16489</v>
      </c>
      <c r="G62" s="8">
        <v>395</v>
      </c>
      <c r="H62" s="8">
        <v>350</v>
      </c>
      <c r="I62" s="8">
        <v>2364</v>
      </c>
      <c r="J62" s="8">
        <v>43239</v>
      </c>
      <c r="K62" s="8">
        <v>73397</v>
      </c>
      <c r="L62" s="6" t="s">
        <v>45</v>
      </c>
      <c r="M62" s="48">
        <f>(F62+G62+H62)/[1]!Table23[[#This Row],[Impressions]]</f>
        <v>0.12183035367138181</v>
      </c>
    </row>
    <row r="63" spans="1:13" ht="16.2" customHeight="1" thickBot="1" x14ac:dyDescent="0.35">
      <c r="A63" s="6" t="s">
        <v>97</v>
      </c>
      <c r="B63" s="6" t="s">
        <v>13</v>
      </c>
      <c r="C63" s="9">
        <v>45920</v>
      </c>
      <c r="D63" s="6" t="s">
        <v>14</v>
      </c>
      <c r="E63" s="6" t="s">
        <v>50</v>
      </c>
      <c r="F63" s="8">
        <v>18633</v>
      </c>
      <c r="G63" s="8">
        <v>797</v>
      </c>
      <c r="H63" s="8">
        <v>303</v>
      </c>
      <c r="I63" s="8">
        <v>659</v>
      </c>
      <c r="J63" s="8">
        <v>7</v>
      </c>
      <c r="K63" s="8">
        <v>122189</v>
      </c>
      <c r="L63" s="6" t="s">
        <v>20</v>
      </c>
      <c r="M63" s="48">
        <f>(F63+G63+H63)/[1]!Table23[[#This Row],[Impressions]]</f>
        <v>0.37738338847558761</v>
      </c>
    </row>
    <row r="64" spans="1:13" ht="16.2" customHeight="1" thickBot="1" x14ac:dyDescent="0.35">
      <c r="A64" s="6" t="s">
        <v>98</v>
      </c>
      <c r="B64" s="6" t="s">
        <v>22</v>
      </c>
      <c r="C64" s="7">
        <v>45504</v>
      </c>
      <c r="D64" s="6" t="s">
        <v>14</v>
      </c>
      <c r="E64" s="6" t="s">
        <v>15</v>
      </c>
      <c r="F64" s="8">
        <v>12357</v>
      </c>
      <c r="G64" s="8">
        <v>716</v>
      </c>
      <c r="H64" s="8">
        <v>599</v>
      </c>
      <c r="I64" s="8">
        <v>999</v>
      </c>
      <c r="J64" s="8">
        <v>89591</v>
      </c>
      <c r="K64" s="8">
        <v>116367</v>
      </c>
      <c r="L64" s="6" t="s">
        <v>16</v>
      </c>
      <c r="M64" s="48">
        <f>(F64+G64+H64)/[1]!Table23[[#This Row],[Impressions]]</f>
        <v>9.6706654594839292E-2</v>
      </c>
    </row>
    <row r="65" spans="1:13" ht="16.2" customHeight="1" thickBot="1" x14ac:dyDescent="0.35">
      <c r="A65" s="6" t="s">
        <v>99</v>
      </c>
      <c r="B65" s="6" t="s">
        <v>22</v>
      </c>
      <c r="C65" s="7">
        <v>45521</v>
      </c>
      <c r="D65" s="6" t="s">
        <v>27</v>
      </c>
      <c r="E65" s="6" t="s">
        <v>32</v>
      </c>
      <c r="F65" s="8">
        <v>19154</v>
      </c>
      <c r="G65" s="8">
        <v>1064</v>
      </c>
      <c r="H65" s="8">
        <v>650</v>
      </c>
      <c r="I65" s="8">
        <v>747</v>
      </c>
      <c r="J65" s="8">
        <v>42667</v>
      </c>
      <c r="K65" s="8">
        <v>242332</v>
      </c>
      <c r="L65" s="6" t="s">
        <v>25</v>
      </c>
      <c r="M65" s="48">
        <f>(F65+G65+H65)/[1]!Table23[[#This Row],[Impressions]]</f>
        <v>0.2218560295978142</v>
      </c>
    </row>
    <row r="66" spans="1:13" ht="16.2" customHeight="1" thickBot="1" x14ac:dyDescent="0.35">
      <c r="A66" s="6" t="s">
        <v>100</v>
      </c>
      <c r="B66" s="6" t="s">
        <v>13</v>
      </c>
      <c r="C66" s="7">
        <v>45744</v>
      </c>
      <c r="D66" s="6" t="s">
        <v>23</v>
      </c>
      <c r="E66" s="6" t="s">
        <v>15</v>
      </c>
      <c r="F66" s="8">
        <v>6363</v>
      </c>
      <c r="G66" s="8">
        <v>1341</v>
      </c>
      <c r="H66" s="8">
        <v>222</v>
      </c>
      <c r="I66" s="8">
        <v>2712</v>
      </c>
      <c r="J66" s="8">
        <v>19987</v>
      </c>
      <c r="K66" s="8">
        <v>160585</v>
      </c>
      <c r="L66" s="6" t="s">
        <v>25</v>
      </c>
      <c r="M66" s="48">
        <f>(F66+G66+H66)/[1]!Table23[[#This Row],[Impressions]]</f>
        <v>6.1369549058473735E-2</v>
      </c>
    </row>
    <row r="67" spans="1:13" ht="16.2" customHeight="1" thickBot="1" x14ac:dyDescent="0.35">
      <c r="A67" s="6" t="s">
        <v>101</v>
      </c>
      <c r="B67" s="6" t="s">
        <v>40</v>
      </c>
      <c r="C67" s="7">
        <v>45499</v>
      </c>
      <c r="D67" s="6" t="s">
        <v>23</v>
      </c>
      <c r="E67" s="6" t="s">
        <v>37</v>
      </c>
      <c r="F67" s="8">
        <v>12176</v>
      </c>
      <c r="G67" s="8">
        <v>1005</v>
      </c>
      <c r="H67" s="8">
        <v>862</v>
      </c>
      <c r="I67" s="8">
        <v>974</v>
      </c>
      <c r="J67" s="8">
        <v>2285</v>
      </c>
      <c r="K67" s="8">
        <v>116619</v>
      </c>
      <c r="L67" s="6" t="s">
        <v>29</v>
      </c>
      <c r="M67" s="48">
        <f>(F67+G67+H67)/[1]!Table23[[#This Row],[Impressions]]</f>
        <v>9.4339495888644057E-2</v>
      </c>
    </row>
    <row r="68" spans="1:13" ht="16.2" customHeight="1" thickBot="1" x14ac:dyDescent="0.35">
      <c r="A68" s="6" t="s">
        <v>102</v>
      </c>
      <c r="B68" s="6" t="s">
        <v>18</v>
      </c>
      <c r="C68" s="7">
        <v>45745</v>
      </c>
      <c r="D68" s="6" t="s">
        <v>27</v>
      </c>
      <c r="E68" s="6" t="s">
        <v>37</v>
      </c>
      <c r="F68" s="8">
        <v>19461</v>
      </c>
      <c r="G68" s="8">
        <v>1382</v>
      </c>
      <c r="H68" s="8">
        <v>445</v>
      </c>
      <c r="I68" s="8">
        <v>1307</v>
      </c>
      <c r="J68" s="8">
        <v>84691</v>
      </c>
      <c r="K68" s="8">
        <v>151453</v>
      </c>
      <c r="L68" s="6" t="s">
        <v>29</v>
      </c>
      <c r="M68" s="48">
        <f>(F68+G68+H68)/[1]!Table23[[#This Row],[Impressions]]</f>
        <v>0.18105735864462136</v>
      </c>
    </row>
    <row r="69" spans="1:13" ht="16.2" customHeight="1" thickBot="1" x14ac:dyDescent="0.35">
      <c r="A69" s="6" t="s">
        <v>103</v>
      </c>
      <c r="B69" s="6" t="s">
        <v>22</v>
      </c>
      <c r="C69" s="7">
        <v>45634</v>
      </c>
      <c r="D69" s="6" t="s">
        <v>27</v>
      </c>
      <c r="E69" s="6" t="s">
        <v>19</v>
      </c>
      <c r="F69" s="8">
        <v>10427</v>
      </c>
      <c r="G69" s="8">
        <v>1014</v>
      </c>
      <c r="H69" s="8">
        <v>166</v>
      </c>
      <c r="I69" s="8">
        <v>1649</v>
      </c>
      <c r="J69" s="8">
        <v>15145</v>
      </c>
      <c r="K69" s="8">
        <v>59816</v>
      </c>
      <c r="L69" s="6" t="s">
        <v>25</v>
      </c>
      <c r="M69" s="48">
        <f>(F69+G69+H69)/[1]!Table23[[#This Row],[Impressions]]</f>
        <v>0.10309269193875013</v>
      </c>
    </row>
    <row r="70" spans="1:13" ht="16.2" customHeight="1" thickBot="1" x14ac:dyDescent="0.35">
      <c r="A70" s="6" t="s">
        <v>104</v>
      </c>
      <c r="B70" s="6" t="s">
        <v>18</v>
      </c>
      <c r="C70" s="7">
        <v>45724</v>
      </c>
      <c r="D70" s="6" t="s">
        <v>23</v>
      </c>
      <c r="E70" s="6" t="s">
        <v>37</v>
      </c>
      <c r="F70" s="8">
        <v>10580</v>
      </c>
      <c r="G70" s="8">
        <v>427</v>
      </c>
      <c r="H70" s="8">
        <v>790</v>
      </c>
      <c r="I70" s="8">
        <v>2814</v>
      </c>
      <c r="J70" s="8">
        <v>24916</v>
      </c>
      <c r="K70" s="8">
        <v>213312</v>
      </c>
      <c r="L70" s="6" t="s">
        <v>45</v>
      </c>
      <c r="M70" s="48">
        <f>(F70+G70+H70)/[1]!Table23[[#This Row],[Impressions]]</f>
        <v>9.6547152362323946E-2</v>
      </c>
    </row>
    <row r="71" spans="1:13" ht="16.2" customHeight="1" thickBot="1" x14ac:dyDescent="0.35">
      <c r="A71" s="6" t="s">
        <v>105</v>
      </c>
      <c r="B71" s="6" t="s">
        <v>40</v>
      </c>
      <c r="C71" s="7">
        <v>45749</v>
      </c>
      <c r="D71" s="6" t="s">
        <v>23</v>
      </c>
      <c r="E71" s="6" t="s">
        <v>41</v>
      </c>
      <c r="F71" s="8">
        <v>6858</v>
      </c>
      <c r="G71" s="8">
        <v>415</v>
      </c>
      <c r="H71" s="8">
        <v>366</v>
      </c>
      <c r="I71" s="8">
        <v>2761</v>
      </c>
      <c r="J71" s="8">
        <v>2988</v>
      </c>
      <c r="K71" s="8">
        <v>177348</v>
      </c>
      <c r="L71" s="6" t="s">
        <v>16</v>
      </c>
      <c r="M71" s="48">
        <f>(F71+G71+H71)/[1]!Table23[[#This Row],[Impressions]]</f>
        <v>5.1683660006901076E-2</v>
      </c>
    </row>
    <row r="72" spans="1:13" ht="16.2" customHeight="1" thickBot="1" x14ac:dyDescent="0.35">
      <c r="A72" s="6" t="s">
        <v>106</v>
      </c>
      <c r="B72" s="6" t="s">
        <v>40</v>
      </c>
      <c r="C72" s="7">
        <v>45537</v>
      </c>
      <c r="D72" s="6" t="s">
        <v>34</v>
      </c>
      <c r="E72" s="6" t="s">
        <v>28</v>
      </c>
      <c r="F72" s="8">
        <v>12040</v>
      </c>
      <c r="G72" s="8">
        <v>1147</v>
      </c>
      <c r="H72" s="8">
        <v>210</v>
      </c>
      <c r="I72" s="8">
        <v>885</v>
      </c>
      <c r="J72" s="8">
        <v>30360</v>
      </c>
      <c r="K72" s="8">
        <v>119530</v>
      </c>
      <c r="L72" s="6" t="s">
        <v>29</v>
      </c>
      <c r="M72" s="48">
        <f>(F72+G72+H72)/[1]!Table23[[#This Row],[Impressions]]</f>
        <v>0.17553491175430092</v>
      </c>
    </row>
    <row r="73" spans="1:13" ht="16.2" customHeight="1" thickBot="1" x14ac:dyDescent="0.35">
      <c r="A73" s="6" t="s">
        <v>107</v>
      </c>
      <c r="B73" s="6" t="s">
        <v>40</v>
      </c>
      <c r="C73" s="7">
        <v>45719</v>
      </c>
      <c r="D73" s="6" t="s">
        <v>34</v>
      </c>
      <c r="E73" s="6" t="s">
        <v>50</v>
      </c>
      <c r="F73" s="8">
        <v>24928</v>
      </c>
      <c r="G73" s="8">
        <v>214</v>
      </c>
      <c r="H73" s="8">
        <v>765</v>
      </c>
      <c r="I73" s="8">
        <v>1556</v>
      </c>
      <c r="J73" s="8">
        <v>5239</v>
      </c>
      <c r="K73" s="8">
        <v>194571</v>
      </c>
      <c r="L73" s="6" t="s">
        <v>45</v>
      </c>
      <c r="M73" s="48">
        <f>(F73+G73+H73)/[1]!Table23[[#This Row],[Impressions]]</f>
        <v>0.24066178041598157</v>
      </c>
    </row>
    <row r="74" spans="1:13" ht="16.2" customHeight="1" thickBot="1" x14ac:dyDescent="0.35">
      <c r="A74" s="6" t="s">
        <v>108</v>
      </c>
      <c r="B74" s="6" t="s">
        <v>22</v>
      </c>
      <c r="C74" s="9">
        <v>45921</v>
      </c>
      <c r="D74" s="6" t="s">
        <v>27</v>
      </c>
      <c r="E74" s="6" t="s">
        <v>15</v>
      </c>
      <c r="F74" s="8">
        <v>23103</v>
      </c>
      <c r="G74" s="8">
        <v>1380</v>
      </c>
      <c r="H74" s="8">
        <v>191</v>
      </c>
      <c r="I74" s="8">
        <v>1547</v>
      </c>
      <c r="J74" s="8">
        <v>77798</v>
      </c>
      <c r="K74" s="8">
        <v>148856</v>
      </c>
      <c r="L74" s="6" t="s">
        <v>20</v>
      </c>
      <c r="M74" s="48">
        <f>(F74+G74+H74)/[1]!Table23[[#This Row],[Impressions]]</f>
        <v>0.58791012413924559</v>
      </c>
    </row>
    <row r="75" spans="1:13" ht="16.2" customHeight="1" thickBot="1" x14ac:dyDescent="0.35">
      <c r="A75" s="6" t="s">
        <v>109</v>
      </c>
      <c r="B75" s="6" t="s">
        <v>40</v>
      </c>
      <c r="C75" s="7">
        <v>45593</v>
      </c>
      <c r="D75" s="6" t="s">
        <v>34</v>
      </c>
      <c r="E75" s="6" t="s">
        <v>28</v>
      </c>
      <c r="F75" s="8">
        <v>21198</v>
      </c>
      <c r="G75" s="8">
        <v>1484</v>
      </c>
      <c r="H75" s="8">
        <v>174</v>
      </c>
      <c r="I75" s="8">
        <v>1293</v>
      </c>
      <c r="J75" s="8">
        <v>16330</v>
      </c>
      <c r="K75" s="8">
        <v>111635</v>
      </c>
      <c r="L75" s="6" t="s">
        <v>29</v>
      </c>
      <c r="M75" s="48">
        <f>(F75+G75+H75)/[1]!Table23[[#This Row],[Impressions]]</f>
        <v>0.16524360707649818</v>
      </c>
    </row>
    <row r="76" spans="1:13" ht="16.2" customHeight="1" thickBot="1" x14ac:dyDescent="0.35">
      <c r="A76" s="6" t="s">
        <v>110</v>
      </c>
      <c r="B76" s="6" t="s">
        <v>22</v>
      </c>
      <c r="C76" s="7">
        <v>45505</v>
      </c>
      <c r="D76" s="6" t="s">
        <v>14</v>
      </c>
      <c r="E76" s="6" t="s">
        <v>24</v>
      </c>
      <c r="F76" s="8">
        <v>21758</v>
      </c>
      <c r="G76" s="8">
        <v>1380</v>
      </c>
      <c r="H76" s="8">
        <v>188</v>
      </c>
      <c r="I76" s="8">
        <v>1735</v>
      </c>
      <c r="J76" s="8">
        <v>20998</v>
      </c>
      <c r="K76" s="8">
        <v>147803</v>
      </c>
      <c r="L76" s="6" t="s">
        <v>45</v>
      </c>
      <c r="M76" s="48">
        <f>(F76+G76+H76)/[1]!Table23[[#This Row],[Impressions]]</f>
        <v>0.24501071383555312</v>
      </c>
    </row>
    <row r="77" spans="1:13" ht="16.2" customHeight="1" thickBot="1" x14ac:dyDescent="0.35">
      <c r="A77" s="6" t="s">
        <v>111</v>
      </c>
      <c r="B77" s="6" t="s">
        <v>40</v>
      </c>
      <c r="C77" s="7">
        <v>45603</v>
      </c>
      <c r="D77" s="6" t="s">
        <v>34</v>
      </c>
      <c r="E77" s="6" t="s">
        <v>32</v>
      </c>
      <c r="F77" s="8">
        <v>17254</v>
      </c>
      <c r="G77" s="8">
        <v>246</v>
      </c>
      <c r="H77" s="8">
        <v>952</v>
      </c>
      <c r="I77" s="8">
        <v>871</v>
      </c>
      <c r="J77" s="8">
        <v>14957</v>
      </c>
      <c r="K77" s="8">
        <v>75946</v>
      </c>
      <c r="L77" s="6" t="s">
        <v>45</v>
      </c>
      <c r="M77" s="48">
        <f>(F77+G77+H77)/[1]!Table23[[#This Row],[Impressions]]</f>
        <v>0.18883294445126694</v>
      </c>
    </row>
    <row r="78" spans="1:13" ht="16.2" customHeight="1" thickBot="1" x14ac:dyDescent="0.35">
      <c r="A78" s="6" t="s">
        <v>112</v>
      </c>
      <c r="B78" s="6" t="s">
        <v>18</v>
      </c>
      <c r="C78" s="7">
        <v>45720</v>
      </c>
      <c r="D78" s="6" t="s">
        <v>34</v>
      </c>
      <c r="E78" s="6" t="s">
        <v>41</v>
      </c>
      <c r="F78" s="8">
        <v>13470</v>
      </c>
      <c r="G78" s="8">
        <v>523</v>
      </c>
      <c r="H78" s="8">
        <v>280</v>
      </c>
      <c r="I78" s="8">
        <v>2682</v>
      </c>
      <c r="J78" s="8">
        <v>8538</v>
      </c>
      <c r="K78" s="8">
        <v>95204</v>
      </c>
      <c r="L78" s="6" t="s">
        <v>16</v>
      </c>
      <c r="M78" s="48">
        <f>(F78+G78+H78)/[1]!Table23[[#This Row],[Impressions]]</f>
        <v>8.9613431027229976E-2</v>
      </c>
    </row>
    <row r="79" spans="1:13" ht="16.2" customHeight="1" thickBot="1" x14ac:dyDescent="0.35">
      <c r="A79" s="6" t="s">
        <v>113</v>
      </c>
      <c r="B79" s="6" t="s">
        <v>18</v>
      </c>
      <c r="C79" s="7">
        <v>45460</v>
      </c>
      <c r="D79" s="6" t="s">
        <v>14</v>
      </c>
      <c r="E79" s="6" t="s">
        <v>35</v>
      </c>
      <c r="F79" s="8">
        <v>3252</v>
      </c>
      <c r="G79" s="8">
        <v>1043</v>
      </c>
      <c r="H79" s="8">
        <v>647</v>
      </c>
      <c r="I79" s="8">
        <v>1545</v>
      </c>
      <c r="J79" s="8">
        <v>18859</v>
      </c>
      <c r="K79" s="8">
        <v>222958</v>
      </c>
      <c r="L79" s="6" t="s">
        <v>16</v>
      </c>
      <c r="M79" s="48">
        <f>(F79+G79+H79)/[1]!Table23[[#This Row],[Impressions]]</f>
        <v>4.9827589683611943E-2</v>
      </c>
    </row>
    <row r="80" spans="1:13" ht="16.2" customHeight="1" thickBot="1" x14ac:dyDescent="0.35">
      <c r="A80" s="6" t="s">
        <v>114</v>
      </c>
      <c r="B80" s="6" t="s">
        <v>13</v>
      </c>
      <c r="C80" s="9">
        <v>45922</v>
      </c>
      <c r="D80" s="6" t="s">
        <v>27</v>
      </c>
      <c r="E80" s="6" t="s">
        <v>115</v>
      </c>
      <c r="F80" s="8">
        <v>8996</v>
      </c>
      <c r="G80" s="8">
        <v>329</v>
      </c>
      <c r="H80" s="8">
        <v>378</v>
      </c>
      <c r="I80" s="8">
        <v>2384</v>
      </c>
      <c r="J80" s="8">
        <v>39404</v>
      </c>
      <c r="K80" s="8">
        <v>242724</v>
      </c>
      <c r="L80" s="6" t="s">
        <v>20</v>
      </c>
      <c r="M80" s="48">
        <f>(F80+G80+H80)/[1]!Table23[[#This Row],[Impressions]]</f>
        <v>5.3824221176888259E-2</v>
      </c>
    </row>
    <row r="81" spans="1:13" ht="16.2" customHeight="1" thickBot="1" x14ac:dyDescent="0.35">
      <c r="A81" s="6" t="s">
        <v>116</v>
      </c>
      <c r="B81" s="6" t="s">
        <v>18</v>
      </c>
      <c r="C81" s="7">
        <v>45456</v>
      </c>
      <c r="D81" s="6" t="s">
        <v>14</v>
      </c>
      <c r="E81" s="6" t="s">
        <v>15</v>
      </c>
      <c r="F81" s="8">
        <v>14173</v>
      </c>
      <c r="G81" s="8">
        <v>294</v>
      </c>
      <c r="H81" s="8">
        <v>257</v>
      </c>
      <c r="I81" s="8">
        <v>1288</v>
      </c>
      <c r="J81" s="8">
        <v>39466</v>
      </c>
      <c r="K81" s="8">
        <v>55563</v>
      </c>
      <c r="L81" s="6" t="s">
        <v>45</v>
      </c>
      <c r="M81" s="48">
        <f>(F81+G81+H81)/[1]!Table23[[#This Row],[Impressions]]</f>
        <v>0.12402917937227285</v>
      </c>
    </row>
    <row r="82" spans="1:13" ht="16.2" customHeight="1" thickBot="1" x14ac:dyDescent="0.35">
      <c r="A82" s="6" t="s">
        <v>117</v>
      </c>
      <c r="B82" s="6" t="s">
        <v>13</v>
      </c>
      <c r="C82" s="7">
        <v>45584</v>
      </c>
      <c r="D82" s="6" t="s">
        <v>34</v>
      </c>
      <c r="E82" s="6" t="s">
        <v>28</v>
      </c>
      <c r="F82" s="8">
        <v>6673</v>
      </c>
      <c r="G82" s="8">
        <v>826</v>
      </c>
      <c r="H82" s="8">
        <v>321</v>
      </c>
      <c r="I82" s="8">
        <v>577</v>
      </c>
      <c r="J82" s="8">
        <v>19262</v>
      </c>
      <c r="K82" s="8">
        <v>132324</v>
      </c>
      <c r="L82" s="6" t="s">
        <v>45</v>
      </c>
      <c r="M82" s="48">
        <f>(F82+G82+H82)/[1]!Table23[[#This Row],[Impressions]]</f>
        <v>8.6755863231933253E-2</v>
      </c>
    </row>
    <row r="83" spans="1:13" ht="16.2" customHeight="1" thickBot="1" x14ac:dyDescent="0.35">
      <c r="A83" s="6" t="s">
        <v>118</v>
      </c>
      <c r="B83" s="6" t="s">
        <v>18</v>
      </c>
      <c r="C83" s="7">
        <v>45497</v>
      </c>
      <c r="D83" s="6" t="s">
        <v>27</v>
      </c>
      <c r="E83" s="6" t="s">
        <v>35</v>
      </c>
      <c r="F83" s="8">
        <v>22914</v>
      </c>
      <c r="G83" s="8">
        <v>954</v>
      </c>
      <c r="H83" s="8">
        <v>584</v>
      </c>
      <c r="I83" s="8">
        <v>1519</v>
      </c>
      <c r="J83" s="8">
        <v>13637</v>
      </c>
      <c r="K83" s="8">
        <v>49847</v>
      </c>
      <c r="L83" s="6" t="s">
        <v>16</v>
      </c>
      <c r="M83" s="48">
        <f>(F83+G83+H83)/[1]!Table23[[#This Row],[Impressions]]</f>
        <v>0.20060875058454825</v>
      </c>
    </row>
    <row r="84" spans="1:13" ht="16.2" customHeight="1" thickBot="1" x14ac:dyDescent="0.35">
      <c r="A84" s="6" t="s">
        <v>119</v>
      </c>
      <c r="B84" s="6" t="s">
        <v>22</v>
      </c>
      <c r="C84" s="7">
        <v>45580</v>
      </c>
      <c r="D84" s="6" t="s">
        <v>34</v>
      </c>
      <c r="E84" s="6" t="s">
        <v>32</v>
      </c>
      <c r="F84" s="8">
        <v>17781</v>
      </c>
      <c r="G84" s="8">
        <v>993</v>
      </c>
      <c r="H84" s="8">
        <v>627</v>
      </c>
      <c r="I84" s="8">
        <v>2187</v>
      </c>
      <c r="J84" s="8">
        <v>9609</v>
      </c>
      <c r="K84" s="8">
        <v>66155</v>
      </c>
      <c r="L84" s="6" t="s">
        <v>29</v>
      </c>
      <c r="M84" s="48">
        <f>(F84+G84+H84)/[1]!Table23[[#This Row],[Impressions]]</f>
        <v>0.41748617417314021</v>
      </c>
    </row>
    <row r="85" spans="1:13" ht="16.2" customHeight="1" thickBot="1" x14ac:dyDescent="0.35">
      <c r="A85" s="6" t="s">
        <v>120</v>
      </c>
      <c r="B85" s="6" t="s">
        <v>18</v>
      </c>
      <c r="C85" s="7">
        <v>45635</v>
      </c>
      <c r="D85" s="6" t="s">
        <v>14</v>
      </c>
      <c r="E85" s="6" t="s">
        <v>19</v>
      </c>
      <c r="F85" s="8">
        <v>15051</v>
      </c>
      <c r="G85" s="8">
        <v>268</v>
      </c>
      <c r="H85" s="8">
        <v>251</v>
      </c>
      <c r="I85" s="8">
        <v>783</v>
      </c>
      <c r="J85" s="8">
        <v>34154</v>
      </c>
      <c r="K85" s="8">
        <v>119671</v>
      </c>
      <c r="L85" s="6" t="s">
        <v>29</v>
      </c>
      <c r="M85" s="48">
        <f>(F85+G85+H85)/[1]!Table23[[#This Row],[Impressions]]</f>
        <v>0.10280417027064502</v>
      </c>
    </row>
    <row r="86" spans="1:13" ht="16.2" customHeight="1" thickBot="1" x14ac:dyDescent="0.35">
      <c r="A86" s="6" t="s">
        <v>121</v>
      </c>
      <c r="B86" s="6" t="s">
        <v>13</v>
      </c>
      <c r="C86" s="7">
        <v>45766</v>
      </c>
      <c r="D86" s="6" t="s">
        <v>14</v>
      </c>
      <c r="E86" s="6" t="s">
        <v>35</v>
      </c>
      <c r="F86" s="8">
        <v>8881</v>
      </c>
      <c r="G86" s="8">
        <v>210</v>
      </c>
      <c r="H86" s="8">
        <v>673</v>
      </c>
      <c r="I86" s="8">
        <v>1565</v>
      </c>
      <c r="J86" s="8">
        <v>24847</v>
      </c>
      <c r="K86" s="8">
        <v>156891</v>
      </c>
      <c r="L86" s="6" t="s">
        <v>25</v>
      </c>
      <c r="M86" s="48">
        <f>(F86+G86+H86)/[1]!Table23[[#This Row],[Impressions]]</f>
        <v>0.14417553859102519</v>
      </c>
    </row>
    <row r="87" spans="1:13" ht="16.2" customHeight="1" thickBot="1" x14ac:dyDescent="0.35">
      <c r="A87" s="6" t="s">
        <v>122</v>
      </c>
      <c r="B87" s="6" t="s">
        <v>13</v>
      </c>
      <c r="C87" s="7">
        <v>45684</v>
      </c>
      <c r="D87" s="6" t="s">
        <v>34</v>
      </c>
      <c r="E87" s="6" t="s">
        <v>41</v>
      </c>
      <c r="F87" s="8">
        <v>8949</v>
      </c>
      <c r="G87" s="8">
        <v>1477</v>
      </c>
      <c r="H87" s="8">
        <v>424</v>
      </c>
      <c r="I87" s="8">
        <v>1030</v>
      </c>
      <c r="J87" s="8">
        <v>58052</v>
      </c>
      <c r="K87" s="8">
        <v>123310</v>
      </c>
      <c r="L87" s="6" t="s">
        <v>16</v>
      </c>
      <c r="M87" s="48">
        <f>(F87+G87+H87)/[1]!Table23[[#This Row],[Impressions]]</f>
        <v>7.0434421334164263E-2</v>
      </c>
    </row>
    <row r="88" spans="1:13" ht="16.2" customHeight="1" thickBot="1" x14ac:dyDescent="0.35">
      <c r="A88" s="6" t="s">
        <v>123</v>
      </c>
      <c r="B88" s="6" t="s">
        <v>40</v>
      </c>
      <c r="C88" s="7">
        <v>45449</v>
      </c>
      <c r="D88" s="6" t="s">
        <v>23</v>
      </c>
      <c r="E88" s="6" t="s">
        <v>41</v>
      </c>
      <c r="F88" s="8">
        <v>11521</v>
      </c>
      <c r="G88" s="8">
        <v>1071</v>
      </c>
      <c r="H88" s="8">
        <v>762</v>
      </c>
      <c r="I88" s="8">
        <v>2539</v>
      </c>
      <c r="J88" s="8">
        <v>12701</v>
      </c>
      <c r="K88" s="8">
        <v>238350</v>
      </c>
      <c r="L88" s="6" t="s">
        <v>25</v>
      </c>
      <c r="M88" s="48">
        <f>(F88+G88+H88)/[1]!Table23[[#This Row],[Impressions]]</f>
        <v>7.0513937512210828E-2</v>
      </c>
    </row>
    <row r="89" spans="1:13" ht="16.2" customHeight="1" thickBot="1" x14ac:dyDescent="0.35">
      <c r="A89" s="6" t="s">
        <v>124</v>
      </c>
      <c r="B89" s="6" t="s">
        <v>22</v>
      </c>
      <c r="C89" s="7">
        <v>45480</v>
      </c>
      <c r="D89" s="6" t="s">
        <v>23</v>
      </c>
      <c r="E89" s="6" t="s">
        <v>19</v>
      </c>
      <c r="F89" s="8">
        <v>24625</v>
      </c>
      <c r="G89" s="8">
        <v>749</v>
      </c>
      <c r="H89" s="8">
        <v>193</v>
      </c>
      <c r="I89" s="8">
        <v>1340</v>
      </c>
      <c r="J89" s="8">
        <v>4890</v>
      </c>
      <c r="K89" s="8">
        <v>189381</v>
      </c>
      <c r="L89" s="6" t="s">
        <v>16</v>
      </c>
      <c r="M89" s="48">
        <f>(F89+G89+H89)/[1]!Table23[[#This Row],[Impressions]]</f>
        <v>0.1879111267905835</v>
      </c>
    </row>
    <row r="90" spans="1:13" ht="16.2" customHeight="1" thickBot="1" x14ac:dyDescent="0.35">
      <c r="A90" s="6" t="s">
        <v>125</v>
      </c>
      <c r="B90" s="6" t="s">
        <v>18</v>
      </c>
      <c r="C90" s="9">
        <v>45923</v>
      </c>
      <c r="D90" s="6" t="s">
        <v>14</v>
      </c>
      <c r="E90" s="6" t="s">
        <v>115</v>
      </c>
      <c r="F90" s="8">
        <v>10017</v>
      </c>
      <c r="G90" s="8">
        <v>1357</v>
      </c>
      <c r="H90" s="8">
        <v>966</v>
      </c>
      <c r="I90" s="8">
        <v>2871</v>
      </c>
      <c r="J90" s="8">
        <v>14800</v>
      </c>
      <c r="K90" s="8">
        <v>171691</v>
      </c>
      <c r="L90" s="6" t="s">
        <v>20</v>
      </c>
      <c r="M90" s="48">
        <f>(F90+G90+H90)/[1]!Table23[[#This Row],[Impressions]]</f>
        <v>8.2174083865511519E-2</v>
      </c>
    </row>
    <row r="91" spans="1:13" ht="16.2" customHeight="1" thickBot="1" x14ac:dyDescent="0.35">
      <c r="A91" s="6" t="s">
        <v>126</v>
      </c>
      <c r="B91" s="6" t="s">
        <v>40</v>
      </c>
      <c r="C91" s="7">
        <v>45446</v>
      </c>
      <c r="D91" s="6" t="s">
        <v>14</v>
      </c>
      <c r="E91" s="6" t="s">
        <v>50</v>
      </c>
      <c r="F91" s="8">
        <v>8941</v>
      </c>
      <c r="G91" s="8">
        <v>911</v>
      </c>
      <c r="H91" s="8">
        <v>166</v>
      </c>
      <c r="I91" s="8">
        <v>1217</v>
      </c>
      <c r="J91" s="8">
        <v>68817</v>
      </c>
      <c r="K91" s="8">
        <v>221180</v>
      </c>
      <c r="L91" s="6" t="s">
        <v>45</v>
      </c>
      <c r="M91" s="48">
        <f>(F91+G91+H91)/[1]!Table23[[#This Row],[Impressions]]</f>
        <v>0.1182232292477991</v>
      </c>
    </row>
    <row r="92" spans="1:13" ht="16.2" customHeight="1" thickBot="1" x14ac:dyDescent="0.35">
      <c r="A92" s="6" t="s">
        <v>127</v>
      </c>
      <c r="B92" s="6" t="s">
        <v>18</v>
      </c>
      <c r="C92" s="9">
        <v>45924</v>
      </c>
      <c r="D92" s="6" t="s">
        <v>23</v>
      </c>
      <c r="E92" s="6" t="s">
        <v>35</v>
      </c>
      <c r="F92" s="8">
        <v>12209</v>
      </c>
      <c r="G92" s="8">
        <v>222</v>
      </c>
      <c r="H92" s="8">
        <v>479</v>
      </c>
      <c r="I92" s="8">
        <v>2748</v>
      </c>
      <c r="J92" s="8">
        <v>24615</v>
      </c>
      <c r="K92" s="8">
        <v>74707</v>
      </c>
      <c r="L92" s="6" t="s">
        <v>20</v>
      </c>
      <c r="M92" s="48">
        <f>(F92+G92+H92)/[1]!Table23[[#This Row],[Impressions]]</f>
        <v>7.8074918054598014E-2</v>
      </c>
    </row>
    <row r="93" spans="1:13" ht="16.2" customHeight="1" thickBot="1" x14ac:dyDescent="0.35">
      <c r="A93" s="6" t="s">
        <v>128</v>
      </c>
      <c r="B93" s="6" t="s">
        <v>18</v>
      </c>
      <c r="C93" s="7">
        <v>45586</v>
      </c>
      <c r="D93" s="6" t="s">
        <v>23</v>
      </c>
      <c r="E93" s="6" t="s">
        <v>19</v>
      </c>
      <c r="F93" s="8">
        <v>19715</v>
      </c>
      <c r="G93" s="8">
        <v>1014</v>
      </c>
      <c r="H93" s="8">
        <v>718</v>
      </c>
      <c r="I93" s="8">
        <v>1185</v>
      </c>
      <c r="J93" s="8">
        <v>37625</v>
      </c>
      <c r="K93" s="8">
        <v>191409</v>
      </c>
      <c r="L93" s="6" t="s">
        <v>16</v>
      </c>
      <c r="M93" s="48">
        <f>(F93+G93+H93)/[1]!Table23[[#This Row],[Impressions]]</f>
        <v>0.11022711503769832</v>
      </c>
    </row>
    <row r="94" spans="1:13" ht="16.2" customHeight="1" thickBot="1" x14ac:dyDescent="0.35">
      <c r="A94" s="6" t="s">
        <v>129</v>
      </c>
      <c r="B94" s="6" t="s">
        <v>40</v>
      </c>
      <c r="C94" s="7">
        <v>45637</v>
      </c>
      <c r="D94" s="6" t="s">
        <v>34</v>
      </c>
      <c r="E94" s="6" t="s">
        <v>41</v>
      </c>
      <c r="F94" s="8">
        <v>22645</v>
      </c>
      <c r="G94" s="8">
        <v>545</v>
      </c>
      <c r="H94" s="8">
        <v>972</v>
      </c>
      <c r="I94" s="8">
        <v>321</v>
      </c>
      <c r="J94" s="8">
        <v>8396</v>
      </c>
      <c r="K94" s="8">
        <v>121537</v>
      </c>
      <c r="L94" s="6" t="s">
        <v>45</v>
      </c>
      <c r="M94" s="48">
        <f>(F94+G94+H94)/[1]!Table23[[#This Row],[Impressions]]</f>
        <v>0.18065451935370513</v>
      </c>
    </row>
    <row r="95" spans="1:13" ht="16.2" customHeight="1" thickBot="1" x14ac:dyDescent="0.35">
      <c r="A95" s="6" t="s">
        <v>130</v>
      </c>
      <c r="B95" s="6" t="s">
        <v>40</v>
      </c>
      <c r="C95" s="7">
        <v>45603</v>
      </c>
      <c r="D95" s="6" t="s">
        <v>34</v>
      </c>
      <c r="E95" s="6" t="s">
        <v>41</v>
      </c>
      <c r="F95" s="8">
        <v>11550</v>
      </c>
      <c r="G95" s="8">
        <v>501</v>
      </c>
      <c r="H95" s="8">
        <v>646</v>
      </c>
      <c r="I95" s="8">
        <v>773</v>
      </c>
      <c r="J95" s="8">
        <v>17841</v>
      </c>
      <c r="K95" s="8">
        <v>237576</v>
      </c>
      <c r="L95" s="6" t="s">
        <v>29</v>
      </c>
      <c r="M95" s="48">
        <f>(F95+G95+H95)/[1]!Table23[[#This Row],[Impressions]]</f>
        <v>0.19232924852689459</v>
      </c>
    </row>
    <row r="96" spans="1:13" ht="16.2" customHeight="1" thickBot="1" x14ac:dyDescent="0.35">
      <c r="A96" s="6" t="s">
        <v>131</v>
      </c>
      <c r="B96" s="6" t="s">
        <v>40</v>
      </c>
      <c r="C96" s="7">
        <v>45604</v>
      </c>
      <c r="D96" s="6" t="s">
        <v>23</v>
      </c>
      <c r="E96" s="6" t="s">
        <v>28</v>
      </c>
      <c r="F96" s="8">
        <v>23499</v>
      </c>
      <c r="G96" s="8">
        <v>562</v>
      </c>
      <c r="H96" s="8">
        <v>964</v>
      </c>
      <c r="I96" s="8">
        <v>2557</v>
      </c>
      <c r="J96" s="8">
        <v>56890</v>
      </c>
      <c r="K96" s="8">
        <v>218686</v>
      </c>
      <c r="L96" s="6" t="s">
        <v>29</v>
      </c>
      <c r="M96" s="48">
        <f>(F96+G96+H96)/[1]!Table23[[#This Row],[Impressions]]</f>
        <v>0.14538430256201709</v>
      </c>
    </row>
    <row r="97" spans="1:13" ht="16.2" customHeight="1" thickBot="1" x14ac:dyDescent="0.35">
      <c r="A97" s="6" t="s">
        <v>132</v>
      </c>
      <c r="B97" s="6" t="s">
        <v>40</v>
      </c>
      <c r="C97" s="7">
        <v>45545</v>
      </c>
      <c r="D97" s="6" t="s">
        <v>34</v>
      </c>
      <c r="E97" s="6" t="s">
        <v>37</v>
      </c>
      <c r="F97" s="8">
        <v>6637</v>
      </c>
      <c r="G97" s="8">
        <v>595</v>
      </c>
      <c r="H97" s="8">
        <v>161</v>
      </c>
      <c r="I97" s="8">
        <v>2653</v>
      </c>
      <c r="J97" s="8">
        <v>19334</v>
      </c>
      <c r="K97" s="8">
        <v>131155</v>
      </c>
      <c r="L97" s="6" t="s">
        <v>25</v>
      </c>
      <c r="M97" s="48">
        <f>(F97+G97+H97)/[1]!Table23[[#This Row],[Impressions]]</f>
        <v>4.6237749466824275E-2</v>
      </c>
    </row>
    <row r="98" spans="1:13" ht="16.2" customHeight="1" thickBot="1" x14ac:dyDescent="0.35">
      <c r="A98" s="6" t="s">
        <v>133</v>
      </c>
      <c r="B98" s="6" t="s">
        <v>40</v>
      </c>
      <c r="C98" s="7">
        <v>45517</v>
      </c>
      <c r="D98" s="6" t="s">
        <v>34</v>
      </c>
      <c r="E98" s="6" t="s">
        <v>115</v>
      </c>
      <c r="F98" s="8">
        <v>6854</v>
      </c>
      <c r="G98" s="8">
        <v>417</v>
      </c>
      <c r="H98" s="8">
        <v>467</v>
      </c>
      <c r="I98" s="8">
        <v>1003</v>
      </c>
      <c r="J98" s="8">
        <v>61333</v>
      </c>
      <c r="K98" s="8">
        <v>40281</v>
      </c>
      <c r="L98" s="6" t="s">
        <v>16</v>
      </c>
      <c r="M98" s="48">
        <f>(F98+G98+H98)/[1]!Table23[[#This Row],[Impressions]]</f>
        <v>3.8130999546646165E-2</v>
      </c>
    </row>
    <row r="99" spans="1:13" ht="16.2" customHeight="1" thickBot="1" x14ac:dyDescent="0.35">
      <c r="A99" s="6" t="s">
        <v>134</v>
      </c>
      <c r="B99" s="6" t="s">
        <v>18</v>
      </c>
      <c r="C99" s="7">
        <v>45453</v>
      </c>
      <c r="D99" s="6" t="s">
        <v>27</v>
      </c>
      <c r="E99" s="6" t="s">
        <v>35</v>
      </c>
      <c r="F99" s="8">
        <v>21561</v>
      </c>
      <c r="G99" s="8">
        <v>340</v>
      </c>
      <c r="H99" s="8">
        <v>741</v>
      </c>
      <c r="I99" s="8">
        <v>986</v>
      </c>
      <c r="J99" s="8">
        <v>24826</v>
      </c>
      <c r="K99" s="8">
        <v>198492</v>
      </c>
      <c r="L99" s="6" t="s">
        <v>16</v>
      </c>
      <c r="M99" s="48">
        <f>(F99+G99+H99)/[1]!Table23[[#This Row],[Impressions]]</f>
        <v>0.18920206232086303</v>
      </c>
    </row>
    <row r="100" spans="1:13" ht="16.2" customHeight="1" thickBot="1" x14ac:dyDescent="0.35">
      <c r="A100" s="6" t="s">
        <v>135</v>
      </c>
      <c r="B100" s="6" t="s">
        <v>40</v>
      </c>
      <c r="C100" s="7">
        <v>45475</v>
      </c>
      <c r="D100" s="6" t="s">
        <v>34</v>
      </c>
      <c r="E100" s="6" t="s">
        <v>35</v>
      </c>
      <c r="F100" s="8">
        <v>12320</v>
      </c>
      <c r="G100" s="8">
        <v>1157</v>
      </c>
      <c r="H100" s="8">
        <v>365</v>
      </c>
      <c r="I100" s="8">
        <v>584</v>
      </c>
      <c r="J100" s="8">
        <v>66634</v>
      </c>
      <c r="K100" s="8">
        <v>210102</v>
      </c>
      <c r="L100" s="6" t="s">
        <v>29</v>
      </c>
      <c r="M100" s="48">
        <f>(F100+G100+H100)/[1]!Table23[[#This Row],[Impressions]]</f>
        <v>7.1720578863102916E-2</v>
      </c>
    </row>
    <row r="101" spans="1:13" ht="16.2" customHeight="1" thickBot="1" x14ac:dyDescent="0.35">
      <c r="A101" s="6" t="s">
        <v>136</v>
      </c>
      <c r="B101" s="6" t="s">
        <v>22</v>
      </c>
      <c r="C101" s="9">
        <v>45925</v>
      </c>
      <c r="D101" s="6" t="s">
        <v>14</v>
      </c>
      <c r="E101" s="6" t="s">
        <v>32</v>
      </c>
      <c r="F101" s="8">
        <v>20564</v>
      </c>
      <c r="G101" s="8">
        <v>1433</v>
      </c>
      <c r="H101" s="8">
        <v>488</v>
      </c>
      <c r="I101" s="8">
        <v>1015</v>
      </c>
      <c r="J101" s="8">
        <v>24333</v>
      </c>
      <c r="K101" s="8">
        <v>172130</v>
      </c>
      <c r="L101" s="6" t="s">
        <v>20</v>
      </c>
      <c r="M101" s="48">
        <f>(F101+G101+H101)/[1]!Table23[[#This Row],[Impressions]]</f>
        <v>0.11574217060967323</v>
      </c>
    </row>
    <row r="102" spans="1:13" ht="16.2" customHeight="1" thickBot="1" x14ac:dyDescent="0.35">
      <c r="A102" s="6" t="s">
        <v>137</v>
      </c>
      <c r="B102" s="6" t="s">
        <v>13</v>
      </c>
      <c r="C102" s="7">
        <v>45583</v>
      </c>
      <c r="D102" s="6" t="s">
        <v>34</v>
      </c>
      <c r="E102" s="6" t="s">
        <v>19</v>
      </c>
      <c r="F102" s="8">
        <v>6892</v>
      </c>
      <c r="G102" s="8">
        <v>1184</v>
      </c>
      <c r="H102" s="8">
        <v>925</v>
      </c>
      <c r="I102" s="8">
        <v>1062</v>
      </c>
      <c r="J102" s="8">
        <v>75008</v>
      </c>
      <c r="K102" s="8">
        <v>116260</v>
      </c>
      <c r="L102" s="6" t="s">
        <v>45</v>
      </c>
      <c r="M102" s="48">
        <f>(F102+G102+H102)/[1]!Table23[[#This Row],[Impressions]]</f>
        <v>0.15580211867340579</v>
      </c>
    </row>
    <row r="103" spans="1:13" ht="16.2" customHeight="1" thickBot="1" x14ac:dyDescent="0.35">
      <c r="A103" s="6" t="s">
        <v>138</v>
      </c>
      <c r="B103" s="6" t="s">
        <v>40</v>
      </c>
      <c r="C103" s="9">
        <v>45926</v>
      </c>
      <c r="D103" s="6" t="s">
        <v>34</v>
      </c>
      <c r="E103" s="6" t="s">
        <v>32</v>
      </c>
      <c r="F103" s="8">
        <v>9043</v>
      </c>
      <c r="G103" s="8">
        <v>1192</v>
      </c>
      <c r="H103" s="8">
        <v>810</v>
      </c>
      <c r="I103" s="8">
        <v>1550</v>
      </c>
      <c r="J103" s="8">
        <v>5221</v>
      </c>
      <c r="K103" s="8">
        <v>199476</v>
      </c>
      <c r="L103" s="6" t="s">
        <v>20</v>
      </c>
      <c r="M103" s="48">
        <f>(F103+G103+H103)/[1]!Table23[[#This Row],[Impressions]]</f>
        <v>6.8236718706560492E-2</v>
      </c>
    </row>
    <row r="104" spans="1:13" ht="16.2" customHeight="1" thickBot="1" x14ac:dyDescent="0.35">
      <c r="A104" s="6" t="s">
        <v>139</v>
      </c>
      <c r="B104" s="6" t="s">
        <v>40</v>
      </c>
      <c r="C104" s="9">
        <v>45927</v>
      </c>
      <c r="D104" s="6" t="s">
        <v>23</v>
      </c>
      <c r="E104" s="6" t="s">
        <v>19</v>
      </c>
      <c r="F104" s="8">
        <v>18521</v>
      </c>
      <c r="G104" s="8">
        <v>1027</v>
      </c>
      <c r="H104" s="8">
        <v>230</v>
      </c>
      <c r="I104" s="8">
        <v>1247</v>
      </c>
      <c r="J104" s="8">
        <v>39588</v>
      </c>
      <c r="K104" s="8">
        <v>200928</v>
      </c>
      <c r="L104" s="6" t="s">
        <v>20</v>
      </c>
      <c r="M104" s="48">
        <f>(F104+G104+H104)/[1]!Table23[[#This Row],[Impressions]]</f>
        <v>0.14077469500476888</v>
      </c>
    </row>
    <row r="105" spans="1:13" ht="16.2" customHeight="1" thickBot="1" x14ac:dyDescent="0.35">
      <c r="A105" s="6" t="s">
        <v>140</v>
      </c>
      <c r="B105" s="6" t="s">
        <v>18</v>
      </c>
      <c r="C105" s="7">
        <v>45739</v>
      </c>
      <c r="D105" s="6" t="s">
        <v>14</v>
      </c>
      <c r="E105" s="6" t="s">
        <v>24</v>
      </c>
      <c r="F105" s="8">
        <v>24711</v>
      </c>
      <c r="G105" s="8">
        <v>882</v>
      </c>
      <c r="H105" s="8">
        <v>876</v>
      </c>
      <c r="I105" s="8">
        <v>2728</v>
      </c>
      <c r="J105" s="8">
        <v>32015</v>
      </c>
      <c r="K105" s="8">
        <v>180272</v>
      </c>
      <c r="L105" s="6" t="s">
        <v>29</v>
      </c>
      <c r="M105" s="48">
        <f>(F105+G105+H105)/[1]!Table23[[#This Row],[Impressions]]</f>
        <v>0.13382036957455951</v>
      </c>
    </row>
    <row r="106" spans="1:13" ht="16.2" customHeight="1" thickBot="1" x14ac:dyDescent="0.35">
      <c r="A106" s="6" t="s">
        <v>141</v>
      </c>
      <c r="B106" s="6" t="s">
        <v>40</v>
      </c>
      <c r="C106" s="7">
        <v>45457</v>
      </c>
      <c r="D106" s="6" t="s">
        <v>34</v>
      </c>
      <c r="E106" s="6" t="s">
        <v>41</v>
      </c>
      <c r="F106" s="8">
        <v>21856</v>
      </c>
      <c r="G106" s="8">
        <v>1203</v>
      </c>
      <c r="H106" s="8">
        <v>634</v>
      </c>
      <c r="I106" s="8">
        <v>2807</v>
      </c>
      <c r="J106" s="8">
        <v>3647</v>
      </c>
      <c r="K106" s="8">
        <v>104178</v>
      </c>
      <c r="L106" s="6" t="s">
        <v>29</v>
      </c>
      <c r="M106" s="48">
        <f>(F106+G106+H106)/[1]!Table23[[#This Row],[Impressions]]</f>
        <v>0.14625398922215568</v>
      </c>
    </row>
    <row r="107" spans="1:13" ht="16.2" customHeight="1" thickBot="1" x14ac:dyDescent="0.35">
      <c r="A107" s="6" t="s">
        <v>142</v>
      </c>
      <c r="B107" s="6" t="s">
        <v>40</v>
      </c>
      <c r="C107" s="7">
        <v>45692</v>
      </c>
      <c r="D107" s="6" t="s">
        <v>34</v>
      </c>
      <c r="E107" s="6" t="s">
        <v>37</v>
      </c>
      <c r="F107" s="8">
        <v>23833</v>
      </c>
      <c r="G107" s="8">
        <v>555</v>
      </c>
      <c r="H107" s="8">
        <v>523</v>
      </c>
      <c r="I107" s="8">
        <v>1330</v>
      </c>
      <c r="J107" s="8">
        <v>69141</v>
      </c>
      <c r="K107" s="8">
        <v>73997</v>
      </c>
      <c r="L107" s="6" t="s">
        <v>29</v>
      </c>
      <c r="M107" s="48">
        <f>(F107+G107+H107)/[1]!Table23[[#This Row],[Impressions]]</f>
        <v>0.14798467341907506</v>
      </c>
    </row>
    <row r="108" spans="1:13" ht="16.2" customHeight="1" thickBot="1" x14ac:dyDescent="0.35">
      <c r="A108" s="6" t="s">
        <v>143</v>
      </c>
      <c r="B108" s="6" t="s">
        <v>40</v>
      </c>
      <c r="C108" s="7">
        <v>45464</v>
      </c>
      <c r="D108" s="6" t="s">
        <v>27</v>
      </c>
      <c r="E108" s="6" t="s">
        <v>28</v>
      </c>
      <c r="F108" s="8">
        <v>21216</v>
      </c>
      <c r="G108" s="8">
        <v>1207</v>
      </c>
      <c r="H108" s="8">
        <v>859</v>
      </c>
      <c r="I108" s="8">
        <v>328</v>
      </c>
      <c r="J108" s="8">
        <v>91296</v>
      </c>
      <c r="K108" s="8">
        <v>196683</v>
      </c>
      <c r="L108" s="6" t="s">
        <v>25</v>
      </c>
      <c r="M108" s="48">
        <f>(F108+G108+H108)/[1]!Table23[[#This Row],[Impressions]]</f>
        <v>0.13249487821534259</v>
      </c>
    </row>
    <row r="109" spans="1:13" ht="16.2" customHeight="1" thickBot="1" x14ac:dyDescent="0.35">
      <c r="A109" s="6" t="s">
        <v>144</v>
      </c>
      <c r="B109" s="6" t="s">
        <v>18</v>
      </c>
      <c r="C109" s="9">
        <v>45928</v>
      </c>
      <c r="D109" s="6" t="s">
        <v>34</v>
      </c>
      <c r="E109" s="6" t="s">
        <v>37</v>
      </c>
      <c r="F109" s="8">
        <v>21963</v>
      </c>
      <c r="G109" s="8">
        <v>1356</v>
      </c>
      <c r="H109" s="8">
        <v>349</v>
      </c>
      <c r="I109" s="8">
        <v>1206</v>
      </c>
      <c r="J109" s="8">
        <v>51755</v>
      </c>
      <c r="K109" s="8">
        <v>159273</v>
      </c>
      <c r="L109" s="6" t="s">
        <v>20</v>
      </c>
      <c r="M109" s="48">
        <f>(F109+G109+H109)/[1]!Table23[[#This Row],[Impressions]]</f>
        <v>0.26798007246376809</v>
      </c>
    </row>
    <row r="110" spans="1:13" ht="16.2" customHeight="1" thickBot="1" x14ac:dyDescent="0.35">
      <c r="A110" s="6" t="s">
        <v>145</v>
      </c>
      <c r="B110" s="6" t="s">
        <v>40</v>
      </c>
      <c r="C110" s="7">
        <v>45512</v>
      </c>
      <c r="D110" s="6" t="s">
        <v>34</v>
      </c>
      <c r="E110" s="6" t="s">
        <v>37</v>
      </c>
      <c r="F110" s="8">
        <v>24355</v>
      </c>
      <c r="G110" s="8">
        <v>1087</v>
      </c>
      <c r="H110" s="8">
        <v>686</v>
      </c>
      <c r="I110" s="8">
        <v>2426</v>
      </c>
      <c r="J110" s="8">
        <v>24963</v>
      </c>
      <c r="K110" s="8">
        <v>212307</v>
      </c>
      <c r="L110" s="6" t="s">
        <v>16</v>
      </c>
      <c r="M110" s="48">
        <f>(F110+G110+H110)/[1]!Table23[[#This Row],[Impressions]]</f>
        <v>0.12544651430766277</v>
      </c>
    </row>
    <row r="111" spans="1:13" ht="16.2" customHeight="1" thickBot="1" x14ac:dyDescent="0.35">
      <c r="A111" s="6" t="s">
        <v>146</v>
      </c>
      <c r="B111" s="6" t="s">
        <v>13</v>
      </c>
      <c r="C111" s="7">
        <v>45502</v>
      </c>
      <c r="D111" s="6" t="s">
        <v>27</v>
      </c>
      <c r="E111" s="6" t="s">
        <v>37</v>
      </c>
      <c r="F111" s="8">
        <v>6164</v>
      </c>
      <c r="G111" s="8">
        <v>326</v>
      </c>
      <c r="H111" s="8">
        <v>615</v>
      </c>
      <c r="I111" s="8">
        <v>2806</v>
      </c>
      <c r="J111" s="8">
        <v>38579</v>
      </c>
      <c r="K111" s="8">
        <v>206129</v>
      </c>
      <c r="L111" s="6" t="s">
        <v>45</v>
      </c>
      <c r="M111" s="48">
        <f>(F111+G111+H111)/[1]!Table23[[#This Row],[Impressions]]</f>
        <v>3.3465688837391136E-2</v>
      </c>
    </row>
    <row r="112" spans="1:13" ht="16.2" customHeight="1" thickBot="1" x14ac:dyDescent="0.35">
      <c r="A112" s="6" t="s">
        <v>147</v>
      </c>
      <c r="B112" s="6" t="s">
        <v>18</v>
      </c>
      <c r="C112" s="7">
        <v>45619</v>
      </c>
      <c r="D112" s="6" t="s">
        <v>23</v>
      </c>
      <c r="E112" s="6" t="s">
        <v>32</v>
      </c>
      <c r="F112" s="8">
        <v>9941</v>
      </c>
      <c r="G112" s="8">
        <v>1329</v>
      </c>
      <c r="H112" s="8">
        <v>238</v>
      </c>
      <c r="I112" s="8">
        <v>869</v>
      </c>
      <c r="J112" s="8">
        <v>40281</v>
      </c>
      <c r="K112" s="8">
        <v>172311</v>
      </c>
      <c r="L112" s="6" t="s">
        <v>25</v>
      </c>
      <c r="M112" s="48">
        <f>(F112+G112+H112)/[1]!Table23[[#This Row],[Impressions]]</f>
        <v>7.6804997530600536E-2</v>
      </c>
    </row>
    <row r="113" spans="1:13" ht="16.2" customHeight="1" thickBot="1" x14ac:dyDescent="0.35">
      <c r="A113" s="6" t="s">
        <v>148</v>
      </c>
      <c r="B113" s="6" t="s">
        <v>13</v>
      </c>
      <c r="C113" s="7">
        <v>45570</v>
      </c>
      <c r="D113" s="6" t="s">
        <v>34</v>
      </c>
      <c r="E113" s="6" t="s">
        <v>19</v>
      </c>
      <c r="F113" s="8">
        <v>16388</v>
      </c>
      <c r="G113" s="8">
        <v>1208</v>
      </c>
      <c r="H113" s="8">
        <v>417</v>
      </c>
      <c r="I113" s="8">
        <v>2306</v>
      </c>
      <c r="J113" s="8">
        <v>16865</v>
      </c>
      <c r="K113" s="8">
        <v>236733</v>
      </c>
      <c r="L113" s="6" t="s">
        <v>16</v>
      </c>
      <c r="M113" s="48">
        <f>(F113+G113+H113)/[1]!Table23[[#This Row],[Impressions]]</f>
        <v>0.15446025090251159</v>
      </c>
    </row>
    <row r="114" spans="1:13" ht="16.2" customHeight="1" thickBot="1" x14ac:dyDescent="0.35">
      <c r="A114" s="6" t="s">
        <v>149</v>
      </c>
      <c r="B114" s="6" t="s">
        <v>18</v>
      </c>
      <c r="C114" s="9">
        <v>45929</v>
      </c>
      <c r="D114" s="6" t="s">
        <v>27</v>
      </c>
      <c r="E114" s="6" t="s">
        <v>55</v>
      </c>
      <c r="F114" s="8">
        <v>7569</v>
      </c>
      <c r="G114" s="8">
        <v>803</v>
      </c>
      <c r="H114" s="8">
        <v>804</v>
      </c>
      <c r="I114" s="8">
        <v>1753</v>
      </c>
      <c r="J114" s="8">
        <v>43582</v>
      </c>
      <c r="K114" s="8">
        <v>166945</v>
      </c>
      <c r="L114" s="6" t="s">
        <v>20</v>
      </c>
      <c r="M114" s="48">
        <f>(F114+G114+H114)/[1]!Table23[[#This Row],[Impressions]]</f>
        <v>0.22284284916336791</v>
      </c>
    </row>
    <row r="115" spans="1:13" ht="16.2" customHeight="1" thickBot="1" x14ac:dyDescent="0.35">
      <c r="A115" s="6" t="s">
        <v>150</v>
      </c>
      <c r="B115" s="6" t="s">
        <v>40</v>
      </c>
      <c r="C115" s="7">
        <v>45610</v>
      </c>
      <c r="D115" s="6" t="s">
        <v>14</v>
      </c>
      <c r="E115" s="6" t="s">
        <v>24</v>
      </c>
      <c r="F115" s="8">
        <v>6300</v>
      </c>
      <c r="G115" s="8">
        <v>1213</v>
      </c>
      <c r="H115" s="8">
        <v>720</v>
      </c>
      <c r="I115" s="8">
        <v>1037</v>
      </c>
      <c r="J115" s="8">
        <v>39569</v>
      </c>
      <c r="K115" s="8">
        <v>85272</v>
      </c>
      <c r="L115" s="6" t="s">
        <v>29</v>
      </c>
      <c r="M115" s="48">
        <f>(F115+G115+H115)/[1]!Table23[[#This Row],[Impressions]]</f>
        <v>4.5080710515364567E-2</v>
      </c>
    </row>
    <row r="116" spans="1:13" ht="16.2" customHeight="1" thickBot="1" x14ac:dyDescent="0.35">
      <c r="A116" s="6" t="s">
        <v>151</v>
      </c>
      <c r="B116" s="6" t="s">
        <v>13</v>
      </c>
      <c r="C116" s="9">
        <v>45930</v>
      </c>
      <c r="D116" s="6" t="s">
        <v>23</v>
      </c>
      <c r="E116" s="6" t="s">
        <v>15</v>
      </c>
      <c r="F116" s="8">
        <v>8269</v>
      </c>
      <c r="G116" s="8">
        <v>250</v>
      </c>
      <c r="H116" s="8">
        <v>638</v>
      </c>
      <c r="I116" s="8">
        <v>815</v>
      </c>
      <c r="J116" s="8">
        <v>41991</v>
      </c>
      <c r="K116" s="8">
        <v>129393</v>
      </c>
      <c r="L116" s="6" t="s">
        <v>20</v>
      </c>
      <c r="M116" s="48">
        <f>(F116+G116+H116)/[1]!Table23[[#This Row],[Impressions]]</f>
        <v>4.6557150338361726E-2</v>
      </c>
    </row>
    <row r="117" spans="1:13" ht="16.2" customHeight="1" thickBot="1" x14ac:dyDescent="0.35">
      <c r="A117" s="6" t="s">
        <v>152</v>
      </c>
      <c r="B117" s="6" t="s">
        <v>18</v>
      </c>
      <c r="C117" s="7">
        <v>45734</v>
      </c>
      <c r="D117" s="6" t="s">
        <v>14</v>
      </c>
      <c r="E117" s="6" t="s">
        <v>37</v>
      </c>
      <c r="F117" s="8">
        <v>5818</v>
      </c>
      <c r="G117" s="8">
        <v>1252</v>
      </c>
      <c r="H117" s="8">
        <v>687</v>
      </c>
      <c r="I117" s="8">
        <v>2300</v>
      </c>
      <c r="J117" s="8">
        <v>25081</v>
      </c>
      <c r="K117" s="8">
        <v>101212</v>
      </c>
      <c r="L117" s="6" t="s">
        <v>45</v>
      </c>
      <c r="M117" s="48">
        <f>(F117+G117+H117)/[1]!Table23[[#This Row],[Impressions]]</f>
        <v>6.6659791865391393E-2</v>
      </c>
    </row>
    <row r="118" spans="1:13" ht="16.2" customHeight="1" thickBot="1" x14ac:dyDescent="0.35">
      <c r="A118" s="6" t="s">
        <v>153</v>
      </c>
      <c r="B118" s="6" t="s">
        <v>22</v>
      </c>
      <c r="C118" s="7">
        <v>45600</v>
      </c>
      <c r="D118" s="6" t="s">
        <v>14</v>
      </c>
      <c r="E118" s="6" t="s">
        <v>50</v>
      </c>
      <c r="F118" s="8">
        <v>14015</v>
      </c>
      <c r="G118" s="8">
        <v>978</v>
      </c>
      <c r="H118" s="8">
        <v>196</v>
      </c>
      <c r="I118" s="8">
        <v>2744</v>
      </c>
      <c r="J118" s="8">
        <v>20190</v>
      </c>
      <c r="K118" s="8">
        <v>186470</v>
      </c>
      <c r="L118" s="6" t="s">
        <v>25</v>
      </c>
      <c r="M118" s="48">
        <f>(F118+G118+H118)/[1]!Table23[[#This Row],[Impressions]]</f>
        <v>9.0968982266169174E-2</v>
      </c>
    </row>
    <row r="119" spans="1:13" ht="16.2" customHeight="1" thickBot="1" x14ac:dyDescent="0.35">
      <c r="A119" s="6" t="s">
        <v>154</v>
      </c>
      <c r="B119" s="6" t="s">
        <v>40</v>
      </c>
      <c r="C119" s="7">
        <v>45600</v>
      </c>
      <c r="D119" s="6" t="s">
        <v>27</v>
      </c>
      <c r="E119" s="6" t="s">
        <v>32</v>
      </c>
      <c r="F119" s="8">
        <v>14234</v>
      </c>
      <c r="G119" s="8">
        <v>1013</v>
      </c>
      <c r="H119" s="8">
        <v>437</v>
      </c>
      <c r="I119" s="8">
        <v>338</v>
      </c>
      <c r="J119" s="8">
        <v>67754</v>
      </c>
      <c r="K119" s="8">
        <v>160030</v>
      </c>
      <c r="L119" s="6" t="s">
        <v>25</v>
      </c>
      <c r="M119" s="48">
        <f>(F119+G119+H119)/[1]!Table23[[#This Row],[Impressions]]</f>
        <v>0.1977556424158366</v>
      </c>
    </row>
    <row r="120" spans="1:13" ht="16.2" customHeight="1" thickBot="1" x14ac:dyDescent="0.35">
      <c r="A120" s="6" t="s">
        <v>155</v>
      </c>
      <c r="B120" s="6" t="s">
        <v>18</v>
      </c>
      <c r="C120" s="7">
        <v>45695</v>
      </c>
      <c r="D120" s="6" t="s">
        <v>34</v>
      </c>
      <c r="E120" s="6" t="s">
        <v>115</v>
      </c>
      <c r="F120" s="8">
        <v>20290</v>
      </c>
      <c r="G120" s="8">
        <v>619</v>
      </c>
      <c r="H120" s="8">
        <v>927</v>
      </c>
      <c r="I120" s="8">
        <v>1186</v>
      </c>
      <c r="J120" s="8">
        <v>8924</v>
      </c>
      <c r="K120" s="8">
        <v>96503</v>
      </c>
      <c r="L120" s="6" t="s">
        <v>45</v>
      </c>
      <c r="M120" s="48">
        <f>(F120+G120+H120)/[1]!Table23[[#This Row],[Impressions]]</f>
        <v>9.9850927814309098E-2</v>
      </c>
    </row>
    <row r="121" spans="1:13" ht="16.2" customHeight="1" thickBot="1" x14ac:dyDescent="0.35">
      <c r="A121" s="6" t="s">
        <v>156</v>
      </c>
      <c r="B121" s="6" t="s">
        <v>22</v>
      </c>
      <c r="C121" s="7">
        <v>45586</v>
      </c>
      <c r="D121" s="6" t="s">
        <v>27</v>
      </c>
      <c r="E121" s="6" t="s">
        <v>28</v>
      </c>
      <c r="F121" s="8">
        <v>8254</v>
      </c>
      <c r="G121" s="8">
        <v>1405</v>
      </c>
      <c r="H121" s="8">
        <v>165</v>
      </c>
      <c r="I121" s="8">
        <v>2504</v>
      </c>
      <c r="J121" s="8">
        <v>8081</v>
      </c>
      <c r="K121" s="8">
        <v>177710</v>
      </c>
      <c r="L121" s="6" t="s">
        <v>16</v>
      </c>
      <c r="M121" s="48">
        <f>(F121+G121+H121)/[1]!Table23[[#This Row],[Impressions]]</f>
        <v>6.5199068205499186E-2</v>
      </c>
    </row>
    <row r="122" spans="1:13" ht="16.2" customHeight="1" thickBot="1" x14ac:dyDescent="0.35">
      <c r="A122" s="6" t="s">
        <v>157</v>
      </c>
      <c r="B122" s="6" t="s">
        <v>18</v>
      </c>
      <c r="C122" s="7">
        <v>45502</v>
      </c>
      <c r="D122" s="6" t="s">
        <v>27</v>
      </c>
      <c r="E122" s="6" t="s">
        <v>15</v>
      </c>
      <c r="F122" s="8">
        <v>19144</v>
      </c>
      <c r="G122" s="8">
        <v>1182</v>
      </c>
      <c r="H122" s="8">
        <v>860</v>
      </c>
      <c r="I122" s="8">
        <v>1398</v>
      </c>
      <c r="J122" s="8">
        <v>4185</v>
      </c>
      <c r="K122" s="8">
        <v>46570</v>
      </c>
      <c r="L122" s="6" t="s">
        <v>16</v>
      </c>
      <c r="M122" s="48">
        <f>(F122+G122+H122)/[1]!Table23[[#This Row],[Impressions]]</f>
        <v>0.10673478024303247</v>
      </c>
    </row>
    <row r="123" spans="1:13" ht="16.2" customHeight="1" thickBot="1" x14ac:dyDescent="0.35">
      <c r="A123" s="6" t="s">
        <v>158</v>
      </c>
      <c r="B123" s="6" t="s">
        <v>22</v>
      </c>
      <c r="C123" s="7">
        <v>45567</v>
      </c>
      <c r="D123" s="6" t="s">
        <v>27</v>
      </c>
      <c r="E123" s="6" t="s">
        <v>55</v>
      </c>
      <c r="F123" s="8">
        <v>9350</v>
      </c>
      <c r="G123" s="8">
        <v>1024</v>
      </c>
      <c r="H123" s="8">
        <v>550</v>
      </c>
      <c r="I123" s="8">
        <v>2123</v>
      </c>
      <c r="J123" s="8">
        <v>53916</v>
      </c>
      <c r="K123" s="8">
        <v>108785</v>
      </c>
      <c r="L123" s="6" t="s">
        <v>25</v>
      </c>
      <c r="M123" s="48">
        <f>(F123+G123+H123)/[1]!Table23[[#This Row],[Impressions]]</f>
        <v>5.3822883101270189E-2</v>
      </c>
    </row>
    <row r="124" spans="1:13" ht="16.2" customHeight="1" thickBot="1" x14ac:dyDescent="0.35">
      <c r="A124" s="6" t="s">
        <v>159</v>
      </c>
      <c r="B124" s="6" t="s">
        <v>40</v>
      </c>
      <c r="C124" s="7">
        <v>45457</v>
      </c>
      <c r="D124" s="6" t="s">
        <v>27</v>
      </c>
      <c r="E124" s="6" t="s">
        <v>50</v>
      </c>
      <c r="F124" s="8">
        <v>17183</v>
      </c>
      <c r="G124" s="8">
        <v>1224</v>
      </c>
      <c r="H124" s="8">
        <v>943</v>
      </c>
      <c r="I124" s="8">
        <v>2010</v>
      </c>
      <c r="J124" s="8">
        <v>21481</v>
      </c>
      <c r="K124" s="8">
        <v>49110</v>
      </c>
      <c r="L124" s="6" t="s">
        <v>25</v>
      </c>
      <c r="M124" s="48">
        <f>(F124+G124+H124)/[1]!Table23[[#This Row],[Impressions]]</f>
        <v>0.10595018424928682</v>
      </c>
    </row>
    <row r="125" spans="1:13" ht="16.2" customHeight="1" thickBot="1" x14ac:dyDescent="0.35">
      <c r="A125" s="6" t="s">
        <v>160</v>
      </c>
      <c r="B125" s="6" t="s">
        <v>13</v>
      </c>
      <c r="C125" s="7">
        <v>45753</v>
      </c>
      <c r="D125" s="6" t="s">
        <v>23</v>
      </c>
      <c r="E125" s="6" t="s">
        <v>55</v>
      </c>
      <c r="F125" s="8">
        <v>8238</v>
      </c>
      <c r="G125" s="8">
        <v>766</v>
      </c>
      <c r="H125" s="8">
        <v>235</v>
      </c>
      <c r="I125" s="8">
        <v>1273</v>
      </c>
      <c r="J125" s="8">
        <v>4706</v>
      </c>
      <c r="K125" s="8">
        <v>119141</v>
      </c>
      <c r="L125" s="6" t="s">
        <v>29</v>
      </c>
      <c r="M125" s="48">
        <f>(F125+G125+H125)/[1]!Table23[[#This Row],[Impressions]]</f>
        <v>6.4132554959357491E-2</v>
      </c>
    </row>
    <row r="126" spans="1:13" ht="16.2" customHeight="1" thickBot="1" x14ac:dyDescent="0.35">
      <c r="A126" s="6" t="s">
        <v>161</v>
      </c>
      <c r="B126" s="6" t="s">
        <v>22</v>
      </c>
      <c r="C126" s="7">
        <v>45543</v>
      </c>
      <c r="D126" s="6" t="s">
        <v>34</v>
      </c>
      <c r="E126" s="6" t="s">
        <v>15</v>
      </c>
      <c r="F126" s="8">
        <v>8090</v>
      </c>
      <c r="G126" s="8">
        <v>570</v>
      </c>
      <c r="H126" s="8">
        <v>399</v>
      </c>
      <c r="I126" s="8">
        <v>1862</v>
      </c>
      <c r="J126" s="8">
        <v>34088</v>
      </c>
      <c r="K126" s="8">
        <v>52115</v>
      </c>
      <c r="L126" s="6" t="s">
        <v>16</v>
      </c>
      <c r="M126" s="48">
        <f>(F126+G126+H126)/[1]!Table23[[#This Row],[Impressions]]</f>
        <v>4.4906335664820975E-2</v>
      </c>
    </row>
    <row r="127" spans="1:13" ht="16.2" customHeight="1" thickBot="1" x14ac:dyDescent="0.35">
      <c r="A127" s="6" t="s">
        <v>162</v>
      </c>
      <c r="B127" s="6" t="s">
        <v>18</v>
      </c>
      <c r="C127" s="7">
        <v>45744</v>
      </c>
      <c r="D127" s="6" t="s">
        <v>14</v>
      </c>
      <c r="E127" s="6" t="s">
        <v>37</v>
      </c>
      <c r="F127" s="8">
        <v>13637</v>
      </c>
      <c r="G127" s="8">
        <v>1135</v>
      </c>
      <c r="H127" s="8">
        <v>540</v>
      </c>
      <c r="I127" s="8">
        <v>1288</v>
      </c>
      <c r="J127" s="8">
        <v>45183</v>
      </c>
      <c r="K127" s="8">
        <v>79062</v>
      </c>
      <c r="L127" s="6" t="s">
        <v>45</v>
      </c>
      <c r="M127" s="48">
        <f>(F127+G127+H127)/[1]!Table23[[#This Row],[Impressions]]</f>
        <v>0.10651529696564965</v>
      </c>
    </row>
    <row r="128" spans="1:13" ht="16.2" customHeight="1" thickBot="1" x14ac:dyDescent="0.35">
      <c r="A128" s="6" t="s">
        <v>163</v>
      </c>
      <c r="B128" s="6" t="s">
        <v>40</v>
      </c>
      <c r="C128" s="7">
        <v>45684</v>
      </c>
      <c r="D128" s="6" t="s">
        <v>14</v>
      </c>
      <c r="E128" s="6" t="s">
        <v>50</v>
      </c>
      <c r="F128" s="8">
        <v>24415</v>
      </c>
      <c r="G128" s="8">
        <v>860</v>
      </c>
      <c r="H128" s="8">
        <v>931</v>
      </c>
      <c r="I128" s="8">
        <v>320</v>
      </c>
      <c r="J128" s="8">
        <v>65049</v>
      </c>
      <c r="K128" s="8">
        <v>62911</v>
      </c>
      <c r="L128" s="6" t="s">
        <v>16</v>
      </c>
      <c r="M128" s="48">
        <f>(F128+G128+H128)/[1]!Table23[[#This Row],[Impressions]]</f>
        <v>0.2192420312892161</v>
      </c>
    </row>
    <row r="129" spans="1:13" ht="16.2" customHeight="1" thickBot="1" x14ac:dyDescent="0.35">
      <c r="A129" s="6" t="s">
        <v>164</v>
      </c>
      <c r="B129" s="6" t="s">
        <v>22</v>
      </c>
      <c r="C129" s="7">
        <v>45667</v>
      </c>
      <c r="D129" s="6" t="s">
        <v>34</v>
      </c>
      <c r="E129" s="6" t="s">
        <v>55</v>
      </c>
      <c r="F129" s="8">
        <v>14647</v>
      </c>
      <c r="G129" s="8">
        <v>1168</v>
      </c>
      <c r="H129" s="8">
        <v>484</v>
      </c>
      <c r="I129" s="8">
        <v>2650</v>
      </c>
      <c r="J129" s="8">
        <v>27217</v>
      </c>
      <c r="K129" s="8">
        <v>144061</v>
      </c>
      <c r="L129" s="6" t="s">
        <v>29</v>
      </c>
      <c r="M129" s="48">
        <f>(F129+G129+H129)/[1]!Table23[[#This Row],[Impressions]]</f>
        <v>8.5152735764775944E-2</v>
      </c>
    </row>
    <row r="130" spans="1:13" ht="16.2" customHeight="1" thickBot="1" x14ac:dyDescent="0.35">
      <c r="A130" s="6" t="s">
        <v>165</v>
      </c>
      <c r="B130" s="6" t="s">
        <v>18</v>
      </c>
      <c r="C130" s="7">
        <v>45494</v>
      </c>
      <c r="D130" s="6" t="s">
        <v>14</v>
      </c>
      <c r="E130" s="6" t="s">
        <v>28</v>
      </c>
      <c r="F130" s="8">
        <v>11911</v>
      </c>
      <c r="G130" s="8">
        <v>1360</v>
      </c>
      <c r="H130" s="8">
        <v>778</v>
      </c>
      <c r="I130" s="8">
        <v>1168</v>
      </c>
      <c r="J130" s="8">
        <v>16483</v>
      </c>
      <c r="K130" s="8">
        <v>72556</v>
      </c>
      <c r="L130" s="6" t="s">
        <v>25</v>
      </c>
      <c r="M130" s="48">
        <f>(F130+G130+H130)/[1]!Table23[[#This Row],[Impressions]]</f>
        <v>6.7967083206339526E-2</v>
      </c>
    </row>
    <row r="131" spans="1:13" ht="16.2" customHeight="1" thickBot="1" x14ac:dyDescent="0.35">
      <c r="A131" s="6" t="s">
        <v>166</v>
      </c>
      <c r="B131" s="6" t="s">
        <v>18</v>
      </c>
      <c r="C131" s="7">
        <v>45564</v>
      </c>
      <c r="D131" s="6" t="s">
        <v>34</v>
      </c>
      <c r="E131" s="6" t="s">
        <v>19</v>
      </c>
      <c r="F131" s="8">
        <v>10472</v>
      </c>
      <c r="G131" s="8">
        <v>401</v>
      </c>
      <c r="H131" s="8">
        <v>668</v>
      </c>
      <c r="I131" s="8">
        <v>383</v>
      </c>
      <c r="J131" s="8">
        <v>37571</v>
      </c>
      <c r="K131" s="8">
        <v>249203</v>
      </c>
      <c r="L131" s="6" t="s">
        <v>25</v>
      </c>
      <c r="M131" s="48">
        <f>(F131+G131+H131)/[1]!Table23[[#This Row],[Impressions]]</f>
        <v>6.9314066413217773E-2</v>
      </c>
    </row>
    <row r="132" spans="1:13" ht="16.2" customHeight="1" thickBot="1" x14ac:dyDescent="0.35">
      <c r="A132" s="6" t="s">
        <v>167</v>
      </c>
      <c r="B132" s="6" t="s">
        <v>18</v>
      </c>
      <c r="C132" s="7">
        <v>45586</v>
      </c>
      <c r="D132" s="6" t="s">
        <v>14</v>
      </c>
      <c r="E132" s="6" t="s">
        <v>41</v>
      </c>
      <c r="F132" s="8">
        <v>20271</v>
      </c>
      <c r="G132" s="8">
        <v>512</v>
      </c>
      <c r="H132" s="8">
        <v>286</v>
      </c>
      <c r="I132" s="8">
        <v>1982</v>
      </c>
      <c r="J132" s="8">
        <v>43225</v>
      </c>
      <c r="K132" s="8">
        <v>168335</v>
      </c>
      <c r="L132" s="6" t="s">
        <v>29</v>
      </c>
      <c r="M132" s="48">
        <f>(F132+G132+H132)/[1]!Table23[[#This Row],[Impressions]]</f>
        <v>0.10911661582602661</v>
      </c>
    </row>
    <row r="133" spans="1:13" ht="16.2" customHeight="1" thickBot="1" x14ac:dyDescent="0.35">
      <c r="A133" s="6" t="s">
        <v>168</v>
      </c>
      <c r="B133" s="6" t="s">
        <v>22</v>
      </c>
      <c r="C133" s="7">
        <v>45720</v>
      </c>
      <c r="D133" s="6" t="s">
        <v>27</v>
      </c>
      <c r="E133" s="6" t="s">
        <v>19</v>
      </c>
      <c r="F133" s="8">
        <v>5266</v>
      </c>
      <c r="G133" s="8">
        <v>316</v>
      </c>
      <c r="H133" s="8">
        <v>837</v>
      </c>
      <c r="I133" s="8">
        <v>2276</v>
      </c>
      <c r="J133" s="8">
        <v>20967</v>
      </c>
      <c r="K133" s="8">
        <v>41969</v>
      </c>
      <c r="L133" s="6" t="s">
        <v>45</v>
      </c>
      <c r="M133" s="48">
        <f>(F133+G133+H133)/[1]!Table23[[#This Row],[Impressions]]</f>
        <v>3.4390754839297294E-2</v>
      </c>
    </row>
    <row r="134" spans="1:13" ht="16.2" customHeight="1" thickBot="1" x14ac:dyDescent="0.35">
      <c r="A134" s="6" t="s">
        <v>169</v>
      </c>
      <c r="B134" s="6" t="s">
        <v>22</v>
      </c>
      <c r="C134" s="7">
        <v>45694</v>
      </c>
      <c r="D134" s="6" t="s">
        <v>14</v>
      </c>
      <c r="E134" s="6" t="s">
        <v>15</v>
      </c>
      <c r="F134" s="8">
        <v>2666</v>
      </c>
      <c r="G134" s="8">
        <v>1136</v>
      </c>
      <c r="H134" s="8">
        <v>989</v>
      </c>
      <c r="I134" s="8">
        <v>1710</v>
      </c>
      <c r="J134" s="8">
        <v>36467</v>
      </c>
      <c r="K134" s="8">
        <v>83753</v>
      </c>
      <c r="L134" s="6" t="s">
        <v>25</v>
      </c>
      <c r="M134" s="48">
        <f>(F134+G134+H134)/[1]!Table23[[#This Row],[Impressions]]</f>
        <v>2.3858848839178111E-2</v>
      </c>
    </row>
    <row r="135" spans="1:13" ht="16.2" customHeight="1" thickBot="1" x14ac:dyDescent="0.35">
      <c r="A135" s="6" t="s">
        <v>170</v>
      </c>
      <c r="B135" s="6" t="s">
        <v>22</v>
      </c>
      <c r="C135" s="9">
        <v>45931</v>
      </c>
      <c r="D135" s="6" t="s">
        <v>34</v>
      </c>
      <c r="E135" s="6" t="s">
        <v>32</v>
      </c>
      <c r="F135" s="8">
        <v>6188</v>
      </c>
      <c r="G135" s="8">
        <v>774</v>
      </c>
      <c r="H135" s="8">
        <v>647</v>
      </c>
      <c r="I135" s="8">
        <v>1830</v>
      </c>
      <c r="J135" s="8">
        <v>55436</v>
      </c>
      <c r="K135" s="8">
        <v>175542</v>
      </c>
      <c r="L135" s="6" t="s">
        <v>20</v>
      </c>
      <c r="M135" s="48">
        <f>(F135+G135+H135)/[1]!Table23[[#This Row],[Impressions]]</f>
        <v>3.8299692958171844E-2</v>
      </c>
    </row>
    <row r="136" spans="1:13" ht="16.2" customHeight="1" thickBot="1" x14ac:dyDescent="0.35">
      <c r="A136" s="6" t="s">
        <v>171</v>
      </c>
      <c r="B136" s="6" t="s">
        <v>13</v>
      </c>
      <c r="C136" s="7">
        <v>45624</v>
      </c>
      <c r="D136" s="6" t="s">
        <v>34</v>
      </c>
      <c r="E136" s="6" t="s">
        <v>41</v>
      </c>
      <c r="F136" s="8">
        <v>19055</v>
      </c>
      <c r="G136" s="8">
        <v>443</v>
      </c>
      <c r="H136" s="8">
        <v>976</v>
      </c>
      <c r="I136" s="8">
        <v>869</v>
      </c>
      <c r="J136" s="8">
        <v>75437</v>
      </c>
      <c r="K136" s="8">
        <v>161863</v>
      </c>
      <c r="L136" s="6" t="s">
        <v>25</v>
      </c>
      <c r="M136" s="48">
        <f>(F136+G136+H136)/[1]!Table23[[#This Row],[Impressions]]</f>
        <v>9.513454237933934E-2</v>
      </c>
    </row>
    <row r="137" spans="1:13" ht="16.2" customHeight="1" thickBot="1" x14ac:dyDescent="0.35">
      <c r="A137" s="6" t="s">
        <v>172</v>
      </c>
      <c r="B137" s="6" t="s">
        <v>22</v>
      </c>
      <c r="C137" s="9">
        <v>45932</v>
      </c>
      <c r="D137" s="6" t="s">
        <v>34</v>
      </c>
      <c r="E137" s="6" t="s">
        <v>24</v>
      </c>
      <c r="F137" s="8">
        <v>12161</v>
      </c>
      <c r="G137" s="8">
        <v>736</v>
      </c>
      <c r="H137" s="8">
        <v>876</v>
      </c>
      <c r="I137" s="8">
        <v>1233</v>
      </c>
      <c r="J137" s="8">
        <v>21337</v>
      </c>
      <c r="K137" s="8">
        <v>50225</v>
      </c>
      <c r="L137" s="6" t="s">
        <v>20</v>
      </c>
      <c r="M137" s="48">
        <f>(F137+G137+H137)/[1]!Table23[[#This Row],[Impressions]]</f>
        <v>6.5987294104119354E-2</v>
      </c>
    </row>
    <row r="138" spans="1:13" ht="16.2" customHeight="1" thickBot="1" x14ac:dyDescent="0.35">
      <c r="A138" s="6" t="s">
        <v>173</v>
      </c>
      <c r="B138" s="6" t="s">
        <v>22</v>
      </c>
      <c r="C138" s="7">
        <v>45504</v>
      </c>
      <c r="D138" s="6" t="s">
        <v>34</v>
      </c>
      <c r="E138" s="6" t="s">
        <v>28</v>
      </c>
      <c r="F138" s="8">
        <v>13314</v>
      </c>
      <c r="G138" s="8">
        <v>274</v>
      </c>
      <c r="H138" s="8">
        <v>626</v>
      </c>
      <c r="I138" s="8">
        <v>2280</v>
      </c>
      <c r="J138" s="8">
        <v>14639</v>
      </c>
      <c r="K138" s="8">
        <v>163008</v>
      </c>
      <c r="L138" s="6" t="s">
        <v>29</v>
      </c>
      <c r="M138" s="48">
        <f>(F138+G138+H138)/[1]!Table23[[#This Row],[Impressions]]</f>
        <v>5.9997467392680762E-2</v>
      </c>
    </row>
    <row r="139" spans="1:13" ht="16.2" customHeight="1" thickBot="1" x14ac:dyDescent="0.35">
      <c r="A139" s="6" t="s">
        <v>174</v>
      </c>
      <c r="B139" s="6" t="s">
        <v>22</v>
      </c>
      <c r="C139" s="7">
        <v>45745</v>
      </c>
      <c r="D139" s="6" t="s">
        <v>34</v>
      </c>
      <c r="E139" s="6" t="s">
        <v>24</v>
      </c>
      <c r="F139" s="8">
        <v>23508</v>
      </c>
      <c r="G139" s="8">
        <v>585</v>
      </c>
      <c r="H139" s="8">
        <v>743</v>
      </c>
      <c r="I139" s="8">
        <v>2155</v>
      </c>
      <c r="J139" s="8">
        <v>3704</v>
      </c>
      <c r="K139" s="8">
        <v>194268</v>
      </c>
      <c r="L139" s="6" t="s">
        <v>29</v>
      </c>
      <c r="M139" s="48">
        <f>(F139+G139+H139)/[1]!Table23[[#This Row],[Impressions]]</f>
        <v>0.23806602507572563</v>
      </c>
    </row>
    <row r="140" spans="1:13" ht="16.2" customHeight="1" thickBot="1" x14ac:dyDescent="0.35">
      <c r="A140" s="6" t="s">
        <v>175</v>
      </c>
      <c r="B140" s="6" t="s">
        <v>13</v>
      </c>
      <c r="C140" s="7">
        <v>45594</v>
      </c>
      <c r="D140" s="6" t="s">
        <v>23</v>
      </c>
      <c r="E140" s="6" t="s">
        <v>50</v>
      </c>
      <c r="F140" s="8">
        <v>23969</v>
      </c>
      <c r="G140" s="8">
        <v>1433</v>
      </c>
      <c r="H140" s="8">
        <v>372</v>
      </c>
      <c r="I140" s="8">
        <v>1092</v>
      </c>
      <c r="J140" s="8">
        <v>32147</v>
      </c>
      <c r="K140" s="8">
        <v>145823</v>
      </c>
      <c r="L140" s="6" t="s">
        <v>25</v>
      </c>
      <c r="M140" s="48">
        <f>(F140+G140+H140)/[1]!Table23[[#This Row],[Impressions]]</f>
        <v>0.13083580801543188</v>
      </c>
    </row>
    <row r="141" spans="1:13" ht="16.2" customHeight="1" thickBot="1" x14ac:dyDescent="0.35">
      <c r="A141" s="6" t="s">
        <v>176</v>
      </c>
      <c r="B141" s="6" t="s">
        <v>22</v>
      </c>
      <c r="C141" s="7">
        <v>45488</v>
      </c>
      <c r="D141" s="6" t="s">
        <v>23</v>
      </c>
      <c r="E141" s="6" t="s">
        <v>35</v>
      </c>
      <c r="F141" s="8">
        <v>14891</v>
      </c>
      <c r="G141" s="8">
        <v>674</v>
      </c>
      <c r="H141" s="8">
        <v>521</v>
      </c>
      <c r="I141" s="8">
        <v>1091</v>
      </c>
      <c r="J141" s="8">
        <v>18101</v>
      </c>
      <c r="K141" s="8">
        <v>53669</v>
      </c>
      <c r="L141" s="6" t="s">
        <v>16</v>
      </c>
      <c r="M141" s="48">
        <f>(F141+G141+H141)/[1]!Table23[[#This Row],[Impressions]]</f>
        <v>8.7030384349030473E-2</v>
      </c>
    </row>
    <row r="142" spans="1:13" ht="16.2" customHeight="1" thickBot="1" x14ac:dyDescent="0.35">
      <c r="A142" s="6" t="s">
        <v>177</v>
      </c>
      <c r="B142" s="6" t="s">
        <v>18</v>
      </c>
      <c r="C142" s="9">
        <v>45933</v>
      </c>
      <c r="D142" s="6" t="s">
        <v>14</v>
      </c>
      <c r="E142" s="6" t="s">
        <v>41</v>
      </c>
      <c r="F142" s="8">
        <v>6777</v>
      </c>
      <c r="G142" s="8">
        <v>617</v>
      </c>
      <c r="H142" s="8">
        <v>551</v>
      </c>
      <c r="I142" s="8">
        <v>2109</v>
      </c>
      <c r="J142" s="8">
        <v>18559</v>
      </c>
      <c r="K142" s="8">
        <v>208452</v>
      </c>
      <c r="L142" s="6" t="s">
        <v>20</v>
      </c>
      <c r="M142" s="48">
        <f>(F142+G142+H142)/[1]!Table23[[#This Row],[Impressions]]</f>
        <v>6.0310013967328595E-2</v>
      </c>
    </row>
    <row r="143" spans="1:13" ht="16.2" customHeight="1" thickBot="1" x14ac:dyDescent="0.35">
      <c r="A143" s="6" t="s">
        <v>178</v>
      </c>
      <c r="B143" s="6" t="s">
        <v>22</v>
      </c>
      <c r="C143" s="7">
        <v>45741</v>
      </c>
      <c r="D143" s="6" t="s">
        <v>34</v>
      </c>
      <c r="E143" s="6" t="s">
        <v>24</v>
      </c>
      <c r="F143" s="8">
        <v>5900</v>
      </c>
      <c r="G143" s="8">
        <v>546</v>
      </c>
      <c r="H143" s="8">
        <v>592</v>
      </c>
      <c r="I143" s="8">
        <v>1594</v>
      </c>
      <c r="J143" s="8">
        <v>38627</v>
      </c>
      <c r="K143" s="8">
        <v>164398</v>
      </c>
      <c r="L143" s="6" t="s">
        <v>45</v>
      </c>
      <c r="M143" s="48">
        <f>(F143+G143+H143)/[1]!Table23[[#This Row],[Impressions]]</f>
        <v>3.1819229882407193E-2</v>
      </c>
    </row>
    <row r="144" spans="1:13" ht="16.2" customHeight="1" thickBot="1" x14ac:dyDescent="0.35">
      <c r="A144" s="6" t="s">
        <v>179</v>
      </c>
      <c r="B144" s="6" t="s">
        <v>18</v>
      </c>
      <c r="C144" s="7">
        <v>45567</v>
      </c>
      <c r="D144" s="6" t="s">
        <v>14</v>
      </c>
      <c r="E144" s="6" t="s">
        <v>24</v>
      </c>
      <c r="F144" s="8">
        <v>15716</v>
      </c>
      <c r="G144" s="8">
        <v>839</v>
      </c>
      <c r="H144" s="8">
        <v>639</v>
      </c>
      <c r="I144" s="8">
        <v>2839</v>
      </c>
      <c r="J144" s="8">
        <v>349</v>
      </c>
      <c r="K144" s="8">
        <v>150677</v>
      </c>
      <c r="L144" s="6" t="s">
        <v>25</v>
      </c>
      <c r="M144" s="48">
        <f>(F144+G144+H144)/[1]!Table23[[#This Row],[Impressions]]</f>
        <v>7.0611329681070381E-2</v>
      </c>
    </row>
    <row r="145" spans="1:13" ht="16.2" customHeight="1" thickBot="1" x14ac:dyDescent="0.35">
      <c r="A145" s="6" t="s">
        <v>180</v>
      </c>
      <c r="B145" s="6" t="s">
        <v>18</v>
      </c>
      <c r="C145" s="7">
        <v>45593</v>
      </c>
      <c r="D145" s="6" t="s">
        <v>34</v>
      </c>
      <c r="E145" s="6" t="s">
        <v>55</v>
      </c>
      <c r="F145" s="8">
        <v>8981</v>
      </c>
      <c r="G145" s="8">
        <v>1138</v>
      </c>
      <c r="H145" s="8">
        <v>764</v>
      </c>
      <c r="I145" s="8">
        <v>2555</v>
      </c>
      <c r="J145" s="8">
        <v>92810</v>
      </c>
      <c r="K145" s="8">
        <v>88320</v>
      </c>
      <c r="L145" s="6" t="s">
        <v>45</v>
      </c>
      <c r="M145" s="48">
        <f>(F145+G145+H145)/[1]!Table23[[#This Row],[Impressions]]</f>
        <v>6.8655530041131493E-2</v>
      </c>
    </row>
    <row r="146" spans="1:13" ht="16.2" customHeight="1" thickBot="1" x14ac:dyDescent="0.35">
      <c r="A146" s="6" t="s">
        <v>181</v>
      </c>
      <c r="B146" s="6" t="s">
        <v>18</v>
      </c>
      <c r="C146" s="7">
        <v>45516</v>
      </c>
      <c r="D146" s="6" t="s">
        <v>34</v>
      </c>
      <c r="E146" s="6" t="s">
        <v>19</v>
      </c>
      <c r="F146" s="8">
        <v>8376</v>
      </c>
      <c r="G146" s="8">
        <v>1154</v>
      </c>
      <c r="H146" s="8">
        <v>422</v>
      </c>
      <c r="I146" s="8">
        <v>1907</v>
      </c>
      <c r="J146" s="8">
        <v>36874</v>
      </c>
      <c r="K146" s="8">
        <v>218486</v>
      </c>
      <c r="L146" s="6" t="s">
        <v>25</v>
      </c>
      <c r="M146" s="48">
        <f>(F146+G146+H146)/[1]!Table23[[#This Row],[Impressions]]</f>
        <v>5.1427537916957339E-2</v>
      </c>
    </row>
    <row r="147" spans="1:13" ht="16.2" customHeight="1" thickBot="1" x14ac:dyDescent="0.35">
      <c r="A147" s="6" t="s">
        <v>182</v>
      </c>
      <c r="B147" s="6" t="s">
        <v>13</v>
      </c>
      <c r="C147" s="7">
        <v>45448</v>
      </c>
      <c r="D147" s="6" t="s">
        <v>23</v>
      </c>
      <c r="E147" s="6" t="s">
        <v>55</v>
      </c>
      <c r="F147" s="8">
        <v>18907</v>
      </c>
      <c r="G147" s="8">
        <v>1075</v>
      </c>
      <c r="H147" s="8">
        <v>675</v>
      </c>
      <c r="I147" s="8">
        <v>1383</v>
      </c>
      <c r="J147" s="8">
        <v>17875</v>
      </c>
      <c r="K147" s="8">
        <v>186649</v>
      </c>
      <c r="L147" s="6" t="s">
        <v>16</v>
      </c>
      <c r="M147" s="48">
        <f>(F147+G147+H147)/[1]!Table23[[#This Row],[Impressions]]</f>
        <v>0.13344918697873934</v>
      </c>
    </row>
    <row r="148" spans="1:13" ht="16.2" customHeight="1" thickBot="1" x14ac:dyDescent="0.35">
      <c r="A148" s="6" t="s">
        <v>183</v>
      </c>
      <c r="B148" s="6" t="s">
        <v>13</v>
      </c>
      <c r="C148" s="7">
        <v>45586</v>
      </c>
      <c r="D148" s="6" t="s">
        <v>23</v>
      </c>
      <c r="E148" s="6" t="s">
        <v>41</v>
      </c>
      <c r="F148" s="8">
        <v>20777</v>
      </c>
      <c r="G148" s="8">
        <v>962</v>
      </c>
      <c r="H148" s="8">
        <v>308</v>
      </c>
      <c r="I148" s="8">
        <v>2777</v>
      </c>
      <c r="J148" s="8">
        <v>25529</v>
      </c>
      <c r="K148" s="8">
        <v>165354</v>
      </c>
      <c r="L148" s="6" t="s">
        <v>16</v>
      </c>
      <c r="M148" s="48">
        <f>(F148+G148+H148)/[1]!Table23[[#This Row],[Impressions]]</f>
        <v>0.14210851993657422</v>
      </c>
    </row>
    <row r="149" spans="1:13" ht="16.2" customHeight="1" thickBot="1" x14ac:dyDescent="0.35">
      <c r="A149" s="6" t="s">
        <v>184</v>
      </c>
      <c r="B149" s="6" t="s">
        <v>13</v>
      </c>
      <c r="C149" s="7">
        <v>45762</v>
      </c>
      <c r="D149" s="6" t="s">
        <v>27</v>
      </c>
      <c r="E149" s="6" t="s">
        <v>41</v>
      </c>
      <c r="F149" s="8">
        <v>20977</v>
      </c>
      <c r="G149" s="8">
        <v>1402</v>
      </c>
      <c r="H149" s="8">
        <v>301</v>
      </c>
      <c r="I149" s="8">
        <v>1284</v>
      </c>
      <c r="J149" s="8">
        <v>24620</v>
      </c>
      <c r="K149" s="8">
        <v>128009</v>
      </c>
      <c r="L149" s="6" t="s">
        <v>16</v>
      </c>
      <c r="M149" s="48">
        <f>(F149+G149+H149)/[1]!Table23[[#This Row],[Impressions]]</f>
        <v>0.43490766841166656</v>
      </c>
    </row>
    <row r="150" spans="1:13" ht="16.2" customHeight="1" thickBot="1" x14ac:dyDescent="0.35">
      <c r="A150" s="6" t="s">
        <v>185</v>
      </c>
      <c r="B150" s="6" t="s">
        <v>22</v>
      </c>
      <c r="C150" s="7">
        <v>45459</v>
      </c>
      <c r="D150" s="6" t="s">
        <v>23</v>
      </c>
      <c r="E150" s="6" t="s">
        <v>15</v>
      </c>
      <c r="F150" s="8">
        <v>12160</v>
      </c>
      <c r="G150" s="8">
        <v>1405</v>
      </c>
      <c r="H150" s="8">
        <v>769</v>
      </c>
      <c r="I150" s="8">
        <v>1980</v>
      </c>
      <c r="J150" s="8">
        <v>33174</v>
      </c>
      <c r="K150" s="8">
        <v>226481</v>
      </c>
      <c r="L150" s="6" t="s">
        <v>16</v>
      </c>
      <c r="M150" s="48">
        <f>(F150+G150+H150)/[1]!Table23[[#This Row],[Impressions]]</f>
        <v>6.2062426123891047E-2</v>
      </c>
    </row>
    <row r="151" spans="1:13" ht="16.2" customHeight="1" thickBot="1" x14ac:dyDescent="0.35">
      <c r="A151" s="6" t="s">
        <v>186</v>
      </c>
      <c r="B151" s="6" t="s">
        <v>18</v>
      </c>
      <c r="C151" s="7">
        <v>45526</v>
      </c>
      <c r="D151" s="6" t="s">
        <v>27</v>
      </c>
      <c r="E151" s="6" t="s">
        <v>55</v>
      </c>
      <c r="F151" s="8">
        <v>16124</v>
      </c>
      <c r="G151" s="8">
        <v>863</v>
      </c>
      <c r="H151" s="8">
        <v>337</v>
      </c>
      <c r="I151" s="8">
        <v>819</v>
      </c>
      <c r="J151" s="8">
        <v>85788</v>
      </c>
      <c r="K151" s="8">
        <v>68625</v>
      </c>
      <c r="L151" s="6" t="s">
        <v>29</v>
      </c>
      <c r="M151" s="48">
        <f>(F151+G151+H151)/[1]!Table23[[#This Row],[Impressions]]</f>
        <v>7.5512161101909156E-2</v>
      </c>
    </row>
    <row r="152" spans="1:13" ht="16.2" customHeight="1" thickBot="1" x14ac:dyDescent="0.35">
      <c r="A152" s="6" t="s">
        <v>187</v>
      </c>
      <c r="B152" s="6" t="s">
        <v>13</v>
      </c>
      <c r="C152" s="7">
        <v>45499</v>
      </c>
      <c r="D152" s="6" t="s">
        <v>27</v>
      </c>
      <c r="E152" s="6" t="s">
        <v>64</v>
      </c>
      <c r="F152" s="8">
        <v>18282</v>
      </c>
      <c r="G152" s="8">
        <v>224</v>
      </c>
      <c r="H152" s="8">
        <v>962</v>
      </c>
      <c r="I152" s="8">
        <v>890</v>
      </c>
      <c r="J152" s="8">
        <v>35105</v>
      </c>
      <c r="K152" s="8">
        <v>64089</v>
      </c>
      <c r="L152" s="6" t="s">
        <v>29</v>
      </c>
      <c r="M152" s="48">
        <f>(F152+G152+H152)/[1]!Table23[[#This Row],[Impressions]]</f>
        <v>7.9382166332305784E-2</v>
      </c>
    </row>
    <row r="153" spans="1:13" ht="16.2" customHeight="1" thickBot="1" x14ac:dyDescent="0.35">
      <c r="A153" s="6" t="s">
        <v>188</v>
      </c>
      <c r="B153" s="6" t="s">
        <v>13</v>
      </c>
      <c r="C153" s="9">
        <v>45934</v>
      </c>
      <c r="D153" s="6" t="s">
        <v>27</v>
      </c>
      <c r="E153" s="6" t="s">
        <v>115</v>
      </c>
      <c r="F153" s="8">
        <v>12488</v>
      </c>
      <c r="G153" s="8">
        <v>1403</v>
      </c>
      <c r="H153" s="8">
        <v>247</v>
      </c>
      <c r="I153" s="8">
        <v>1350</v>
      </c>
      <c r="J153" s="8">
        <v>28370</v>
      </c>
      <c r="K153" s="8">
        <v>76487</v>
      </c>
      <c r="L153" s="6" t="s">
        <v>20</v>
      </c>
      <c r="M153" s="48">
        <f>(F153+G153+H153)/[1]!Table23[[#This Row],[Impressions]]</f>
        <v>0.16284453863785578</v>
      </c>
    </row>
    <row r="154" spans="1:13" ht="16.2" customHeight="1" thickBot="1" x14ac:dyDescent="0.35">
      <c r="A154" s="6" t="s">
        <v>189</v>
      </c>
      <c r="B154" s="6" t="s">
        <v>22</v>
      </c>
      <c r="C154" s="7">
        <v>45658</v>
      </c>
      <c r="D154" s="6" t="s">
        <v>27</v>
      </c>
      <c r="E154" s="6" t="s">
        <v>19</v>
      </c>
      <c r="F154" s="8">
        <v>24574</v>
      </c>
      <c r="G154" s="8">
        <v>909</v>
      </c>
      <c r="H154" s="8">
        <v>280</v>
      </c>
      <c r="I154" s="8">
        <v>2009</v>
      </c>
      <c r="J154" s="8">
        <v>6221</v>
      </c>
      <c r="K154" s="8">
        <v>236910</v>
      </c>
      <c r="L154" s="6" t="s">
        <v>45</v>
      </c>
      <c r="M154" s="48">
        <f>(F154+G154+H154)/[1]!Table23[[#This Row],[Impressions]]</f>
        <v>0.10305694673344321</v>
      </c>
    </row>
    <row r="155" spans="1:13" ht="16.2" customHeight="1" thickBot="1" x14ac:dyDescent="0.35">
      <c r="A155" s="6" t="s">
        <v>190</v>
      </c>
      <c r="B155" s="6" t="s">
        <v>13</v>
      </c>
      <c r="C155" s="7">
        <v>45574</v>
      </c>
      <c r="D155" s="6" t="s">
        <v>27</v>
      </c>
      <c r="E155" s="6" t="s">
        <v>41</v>
      </c>
      <c r="F155" s="8">
        <v>7240</v>
      </c>
      <c r="G155" s="8">
        <v>1384</v>
      </c>
      <c r="H155" s="8">
        <v>954</v>
      </c>
      <c r="I155" s="8">
        <v>2335</v>
      </c>
      <c r="J155" s="8">
        <v>6757</v>
      </c>
      <c r="K155" s="8">
        <v>150448</v>
      </c>
      <c r="L155" s="6" t="s">
        <v>25</v>
      </c>
      <c r="M155" s="48">
        <f>(F155+G155+H155)/[1]!Table23[[#This Row],[Impressions]]</f>
        <v>8.8045226823551037E-2</v>
      </c>
    </row>
    <row r="156" spans="1:13" ht="16.2" customHeight="1" thickBot="1" x14ac:dyDescent="0.35">
      <c r="A156" s="6" t="s">
        <v>191</v>
      </c>
      <c r="B156" s="6" t="s">
        <v>22</v>
      </c>
      <c r="C156" s="7">
        <v>45647</v>
      </c>
      <c r="D156" s="6" t="s">
        <v>14</v>
      </c>
      <c r="E156" s="6" t="s">
        <v>15</v>
      </c>
      <c r="F156" s="8">
        <v>12453</v>
      </c>
      <c r="G156" s="8">
        <v>376</v>
      </c>
      <c r="H156" s="8">
        <v>320</v>
      </c>
      <c r="I156" s="8">
        <v>2546</v>
      </c>
      <c r="J156" s="8">
        <v>22617</v>
      </c>
      <c r="K156" s="8">
        <v>90138</v>
      </c>
      <c r="L156" s="6" t="s">
        <v>25</v>
      </c>
      <c r="M156" s="48">
        <f>(F156+G156+H156)/[1]!Table23[[#This Row],[Impressions]]</f>
        <v>0.10340271934446341</v>
      </c>
    </row>
    <row r="157" spans="1:13" ht="16.2" customHeight="1" thickBot="1" x14ac:dyDescent="0.35">
      <c r="A157" s="6" t="s">
        <v>192</v>
      </c>
      <c r="B157" s="6" t="s">
        <v>40</v>
      </c>
      <c r="C157" s="7">
        <v>45587</v>
      </c>
      <c r="D157" s="6" t="s">
        <v>23</v>
      </c>
      <c r="E157" s="6" t="s">
        <v>35</v>
      </c>
      <c r="F157" s="8">
        <v>12478</v>
      </c>
      <c r="G157" s="8">
        <v>484</v>
      </c>
      <c r="H157" s="8">
        <v>332</v>
      </c>
      <c r="I157" s="8">
        <v>2734</v>
      </c>
      <c r="J157" s="8">
        <v>43338</v>
      </c>
      <c r="K157" s="8">
        <v>213895</v>
      </c>
      <c r="L157" s="6" t="s">
        <v>29</v>
      </c>
      <c r="M157" s="48">
        <f>(F157+G157+H157)/[1]!Table23[[#This Row],[Impressions]]</f>
        <v>6.230812855328343E-2</v>
      </c>
    </row>
    <row r="158" spans="1:13" ht="16.2" customHeight="1" thickBot="1" x14ac:dyDescent="0.35">
      <c r="A158" s="6" t="s">
        <v>193</v>
      </c>
      <c r="B158" s="6" t="s">
        <v>13</v>
      </c>
      <c r="C158" s="7">
        <v>45496</v>
      </c>
      <c r="D158" s="6" t="s">
        <v>27</v>
      </c>
      <c r="E158" s="6" t="s">
        <v>55</v>
      </c>
      <c r="F158" s="8">
        <v>24877</v>
      </c>
      <c r="G158" s="8">
        <v>262</v>
      </c>
      <c r="H158" s="8">
        <v>513</v>
      </c>
      <c r="I158" s="8">
        <v>648</v>
      </c>
      <c r="J158" s="8">
        <v>47544</v>
      </c>
      <c r="K158" s="8">
        <v>208280</v>
      </c>
      <c r="L158" s="6" t="s">
        <v>25</v>
      </c>
      <c r="M158" s="48">
        <f>(F158+G158+H158)/[1]!Table23[[#This Row],[Impressions]]</f>
        <v>0.11852769126983394</v>
      </c>
    </row>
    <row r="159" spans="1:13" ht="16.2" customHeight="1" thickBot="1" x14ac:dyDescent="0.35">
      <c r="A159" s="6" t="s">
        <v>194</v>
      </c>
      <c r="B159" s="6" t="s">
        <v>40</v>
      </c>
      <c r="C159" s="7">
        <v>45515</v>
      </c>
      <c r="D159" s="6" t="s">
        <v>34</v>
      </c>
      <c r="E159" s="6" t="s">
        <v>19</v>
      </c>
      <c r="F159" s="8">
        <v>14394</v>
      </c>
      <c r="G159" s="8">
        <v>1202</v>
      </c>
      <c r="H159" s="8">
        <v>188</v>
      </c>
      <c r="I159" s="8">
        <v>1259</v>
      </c>
      <c r="J159" s="8">
        <v>21925</v>
      </c>
      <c r="K159" s="8">
        <v>94061</v>
      </c>
      <c r="L159" s="6" t="s">
        <v>29</v>
      </c>
      <c r="M159" s="48">
        <f>(F159+G159+H159)/[1]!Table23[[#This Row],[Impressions]]</f>
        <v>7.8555502468545951E-2</v>
      </c>
    </row>
    <row r="160" spans="1:13" ht="16.2" customHeight="1" thickBot="1" x14ac:dyDescent="0.35">
      <c r="A160" s="6" t="s">
        <v>195</v>
      </c>
      <c r="B160" s="6" t="s">
        <v>22</v>
      </c>
      <c r="C160" s="9">
        <v>45935</v>
      </c>
      <c r="D160" s="6" t="s">
        <v>23</v>
      </c>
      <c r="E160" s="6" t="s">
        <v>35</v>
      </c>
      <c r="F160" s="8">
        <v>21262</v>
      </c>
      <c r="G160" s="8">
        <v>861</v>
      </c>
      <c r="H160" s="8">
        <v>676</v>
      </c>
      <c r="I160" s="8">
        <v>2263</v>
      </c>
      <c r="J160" s="8">
        <v>12085</v>
      </c>
      <c r="K160" s="8">
        <v>201731</v>
      </c>
      <c r="L160" s="6" t="s">
        <v>20</v>
      </c>
      <c r="M160" s="48">
        <f>(F160+G160+H160)/[1]!Table23[[#This Row],[Impressions]]</f>
        <v>0.14246703743048178</v>
      </c>
    </row>
    <row r="161" spans="1:13" ht="16.2" customHeight="1" thickBot="1" x14ac:dyDescent="0.35">
      <c r="A161" s="6" t="s">
        <v>196</v>
      </c>
      <c r="B161" s="6" t="s">
        <v>18</v>
      </c>
      <c r="C161" s="7">
        <v>45528</v>
      </c>
      <c r="D161" s="6" t="s">
        <v>23</v>
      </c>
      <c r="E161" s="6" t="s">
        <v>55</v>
      </c>
      <c r="F161" s="8">
        <v>22527</v>
      </c>
      <c r="G161" s="8">
        <v>865</v>
      </c>
      <c r="H161" s="8">
        <v>646</v>
      </c>
      <c r="I161" s="8">
        <v>992</v>
      </c>
      <c r="J161" s="8">
        <v>18654</v>
      </c>
      <c r="K161" s="8">
        <v>141376</v>
      </c>
      <c r="L161" s="6" t="s">
        <v>45</v>
      </c>
      <c r="M161" s="48">
        <f>(F161+G161+H161)/[1]!Table23[[#This Row],[Impressions]]</f>
        <v>0.13356076853837692</v>
      </c>
    </row>
    <row r="162" spans="1:13" ht="16.2" customHeight="1" thickBot="1" x14ac:dyDescent="0.35">
      <c r="A162" s="6" t="s">
        <v>197</v>
      </c>
      <c r="B162" s="6" t="s">
        <v>13</v>
      </c>
      <c r="C162" s="9">
        <v>45936</v>
      </c>
      <c r="D162" s="6" t="s">
        <v>27</v>
      </c>
      <c r="E162" s="6" t="s">
        <v>24</v>
      </c>
      <c r="F162" s="8">
        <v>22028</v>
      </c>
      <c r="G162" s="8">
        <v>355</v>
      </c>
      <c r="H162" s="8">
        <v>665</v>
      </c>
      <c r="I162" s="8">
        <v>1859</v>
      </c>
      <c r="J162" s="8">
        <v>50565</v>
      </c>
      <c r="K162" s="8">
        <v>202962</v>
      </c>
      <c r="L162" s="6" t="s">
        <v>20</v>
      </c>
      <c r="M162" s="48">
        <f>(F162+G162+H162)/[1]!Table23[[#This Row],[Impressions]]</f>
        <v>0.2702880195140257</v>
      </c>
    </row>
    <row r="163" spans="1:13" ht="16.2" customHeight="1" thickBot="1" x14ac:dyDescent="0.35">
      <c r="A163" s="6" t="s">
        <v>198</v>
      </c>
      <c r="B163" s="6" t="s">
        <v>22</v>
      </c>
      <c r="C163" s="7">
        <v>45748</v>
      </c>
      <c r="D163" s="6" t="s">
        <v>14</v>
      </c>
      <c r="E163" s="6" t="s">
        <v>35</v>
      </c>
      <c r="F163" s="8">
        <v>6432</v>
      </c>
      <c r="G163" s="8">
        <v>1272</v>
      </c>
      <c r="H163" s="8">
        <v>498</v>
      </c>
      <c r="I163" s="8">
        <v>677</v>
      </c>
      <c r="J163" s="8">
        <v>47305</v>
      </c>
      <c r="K163" s="8">
        <v>119134</v>
      </c>
      <c r="L163" s="6" t="s">
        <v>16</v>
      </c>
      <c r="M163" s="48">
        <f>(F163+G163+H163)/[1]!Table23[[#This Row],[Impressions]]</f>
        <v>0.10843039012202055</v>
      </c>
    </row>
    <row r="164" spans="1:13" ht="16.2" customHeight="1" thickBot="1" x14ac:dyDescent="0.35">
      <c r="A164" s="6" t="s">
        <v>199</v>
      </c>
      <c r="B164" s="6" t="s">
        <v>18</v>
      </c>
      <c r="C164" s="7">
        <v>45755</v>
      </c>
      <c r="D164" s="6" t="s">
        <v>27</v>
      </c>
      <c r="E164" s="6" t="s">
        <v>15</v>
      </c>
      <c r="F164" s="8">
        <v>15568</v>
      </c>
      <c r="G164" s="8">
        <v>1166</v>
      </c>
      <c r="H164" s="8">
        <v>546</v>
      </c>
      <c r="I164" s="8">
        <v>826</v>
      </c>
      <c r="J164" s="8">
        <v>21836</v>
      </c>
      <c r="K164" s="8">
        <v>87055</v>
      </c>
      <c r="L164" s="6" t="s">
        <v>16</v>
      </c>
      <c r="M164" s="48">
        <f>(F164+G164+H164)/[1]!Table23[[#This Row],[Impressions]]</f>
        <v>0.36648215308264936</v>
      </c>
    </row>
    <row r="165" spans="1:13" ht="16.2" customHeight="1" thickBot="1" x14ac:dyDescent="0.35">
      <c r="A165" s="6" t="s">
        <v>200</v>
      </c>
      <c r="B165" s="6" t="s">
        <v>18</v>
      </c>
      <c r="C165" s="7">
        <v>45715</v>
      </c>
      <c r="D165" s="6" t="s">
        <v>14</v>
      </c>
      <c r="E165" s="6" t="s">
        <v>19</v>
      </c>
      <c r="F165" s="8">
        <v>16178</v>
      </c>
      <c r="G165" s="8">
        <v>1048</v>
      </c>
      <c r="H165" s="8">
        <v>871</v>
      </c>
      <c r="I165" s="8">
        <v>2553</v>
      </c>
      <c r="J165" s="8">
        <v>39025</v>
      </c>
      <c r="K165" s="8">
        <v>59508</v>
      </c>
      <c r="L165" s="6" t="s">
        <v>16</v>
      </c>
      <c r="M165" s="48">
        <f>(F165+G165+H165)/[1]!Table23[[#This Row],[Impressions]]</f>
        <v>0.10906274859581033</v>
      </c>
    </row>
    <row r="166" spans="1:13" ht="16.2" customHeight="1" thickBot="1" x14ac:dyDescent="0.35">
      <c r="A166" s="6" t="s">
        <v>201</v>
      </c>
      <c r="B166" s="6" t="s">
        <v>40</v>
      </c>
      <c r="C166" s="9">
        <v>45937</v>
      </c>
      <c r="D166" s="6" t="s">
        <v>34</v>
      </c>
      <c r="E166" s="6" t="s">
        <v>37</v>
      </c>
      <c r="F166" s="8">
        <v>19660</v>
      </c>
      <c r="G166" s="8">
        <v>1307</v>
      </c>
      <c r="H166" s="8">
        <v>310</v>
      </c>
      <c r="I166" s="8">
        <v>2802</v>
      </c>
      <c r="J166" s="8">
        <v>22171</v>
      </c>
      <c r="K166" s="8">
        <v>213359</v>
      </c>
      <c r="L166" s="6" t="s">
        <v>20</v>
      </c>
      <c r="M166" s="48">
        <f>(F166+G166+H166)/[1]!Table23[[#This Row],[Impressions]]</f>
        <v>8.5321987544762265E-2</v>
      </c>
    </row>
    <row r="167" spans="1:13" ht="16.2" customHeight="1" thickBot="1" x14ac:dyDescent="0.35">
      <c r="A167" s="6" t="s">
        <v>202</v>
      </c>
      <c r="B167" s="6" t="s">
        <v>22</v>
      </c>
      <c r="C167" s="7">
        <v>45704</v>
      </c>
      <c r="D167" s="6" t="s">
        <v>23</v>
      </c>
      <c r="E167" s="6" t="s">
        <v>50</v>
      </c>
      <c r="F167" s="8">
        <v>24195</v>
      </c>
      <c r="G167" s="8">
        <v>888</v>
      </c>
      <c r="H167" s="8">
        <v>165</v>
      </c>
      <c r="I167" s="8">
        <v>1559</v>
      </c>
      <c r="J167" s="8">
        <v>11596</v>
      </c>
      <c r="K167" s="8">
        <v>249988</v>
      </c>
      <c r="L167" s="6" t="s">
        <v>25</v>
      </c>
      <c r="M167" s="48">
        <f>(F167+G167+H167)/[1]!Table23[[#This Row],[Impressions]]</f>
        <v>0.22192142040959831</v>
      </c>
    </row>
    <row r="168" spans="1:13" ht="16.2" customHeight="1" thickBot="1" x14ac:dyDescent="0.35">
      <c r="A168" s="6" t="s">
        <v>203</v>
      </c>
      <c r="B168" s="6" t="s">
        <v>18</v>
      </c>
      <c r="C168" s="7">
        <v>45624</v>
      </c>
      <c r="D168" s="6" t="s">
        <v>34</v>
      </c>
      <c r="E168" s="6" t="s">
        <v>50</v>
      </c>
      <c r="F168" s="8">
        <v>2302</v>
      </c>
      <c r="G168" s="8">
        <v>347</v>
      </c>
      <c r="H168" s="8">
        <v>642</v>
      </c>
      <c r="I168" s="8">
        <v>2175</v>
      </c>
      <c r="J168" s="8">
        <v>56378</v>
      </c>
      <c r="K168" s="8">
        <v>198056</v>
      </c>
      <c r="L168" s="6" t="s">
        <v>45</v>
      </c>
      <c r="M168" s="48">
        <f>(F168+G168+H168)/[1]!Table23[[#This Row],[Impressions]]</f>
        <v>1.7918980725253185E-2</v>
      </c>
    </row>
    <row r="169" spans="1:13" ht="16.2" customHeight="1" thickBot="1" x14ac:dyDescent="0.35">
      <c r="A169" s="6" t="s">
        <v>204</v>
      </c>
      <c r="B169" s="6" t="s">
        <v>13</v>
      </c>
      <c r="C169" s="7">
        <v>45608</v>
      </c>
      <c r="D169" s="6" t="s">
        <v>14</v>
      </c>
      <c r="E169" s="6" t="s">
        <v>19</v>
      </c>
      <c r="F169" s="8">
        <v>19022</v>
      </c>
      <c r="G169" s="8">
        <v>541</v>
      </c>
      <c r="H169" s="8">
        <v>575</v>
      </c>
      <c r="I169" s="8">
        <v>2063</v>
      </c>
      <c r="J169" s="8">
        <v>42743</v>
      </c>
      <c r="K169" s="8">
        <v>150169</v>
      </c>
      <c r="L169" s="6" t="s">
        <v>16</v>
      </c>
      <c r="M169" s="48">
        <f>(F169+G169+H169)/[1]!Table23[[#This Row],[Impressions]]</f>
        <v>9.7073993733429745E-2</v>
      </c>
    </row>
    <row r="170" spans="1:13" ht="16.2" customHeight="1" thickBot="1" x14ac:dyDescent="0.35">
      <c r="A170" s="6" t="s">
        <v>205</v>
      </c>
      <c r="B170" s="6" t="s">
        <v>13</v>
      </c>
      <c r="C170" s="7">
        <v>45629</v>
      </c>
      <c r="D170" s="6" t="s">
        <v>14</v>
      </c>
      <c r="E170" s="6" t="s">
        <v>35</v>
      </c>
      <c r="F170" s="8">
        <v>2055</v>
      </c>
      <c r="G170" s="8">
        <v>675</v>
      </c>
      <c r="H170" s="8">
        <v>257</v>
      </c>
      <c r="I170" s="8">
        <v>820</v>
      </c>
      <c r="J170" s="8">
        <v>33534</v>
      </c>
      <c r="K170" s="8">
        <v>48125</v>
      </c>
      <c r="L170" s="6" t="s">
        <v>16</v>
      </c>
      <c r="M170" s="48">
        <f>(F170+G170+H170)/[1]!Table23[[#This Row],[Impressions]]</f>
        <v>1.5064555174500706E-2</v>
      </c>
    </row>
    <row r="171" spans="1:13" ht="16.2" customHeight="1" thickBot="1" x14ac:dyDescent="0.35">
      <c r="A171" s="6" t="s">
        <v>206</v>
      </c>
      <c r="B171" s="6" t="s">
        <v>40</v>
      </c>
      <c r="C171" s="7">
        <v>45775</v>
      </c>
      <c r="D171" s="6" t="s">
        <v>34</v>
      </c>
      <c r="E171" s="6" t="s">
        <v>55</v>
      </c>
      <c r="F171" s="8">
        <v>15013</v>
      </c>
      <c r="G171" s="8">
        <v>1286</v>
      </c>
      <c r="H171" s="8">
        <v>599</v>
      </c>
      <c r="I171" s="8">
        <v>2001</v>
      </c>
      <c r="J171" s="8">
        <v>67839</v>
      </c>
      <c r="K171" s="8">
        <v>76059</v>
      </c>
      <c r="L171" s="6" t="s">
        <v>16</v>
      </c>
      <c r="M171" s="48">
        <f>(F171+G171+H171)/[1]!Table23[[#This Row],[Impressions]]</f>
        <v>0.23605503946357478</v>
      </c>
    </row>
    <row r="172" spans="1:13" ht="16.2" customHeight="1" thickBot="1" x14ac:dyDescent="0.35">
      <c r="A172" s="6" t="s">
        <v>207</v>
      </c>
      <c r="B172" s="6" t="s">
        <v>18</v>
      </c>
      <c r="C172" s="7">
        <v>45657</v>
      </c>
      <c r="D172" s="6" t="s">
        <v>14</v>
      </c>
      <c r="E172" s="6" t="s">
        <v>15</v>
      </c>
      <c r="F172" s="8">
        <v>10717</v>
      </c>
      <c r="G172" s="8">
        <v>760</v>
      </c>
      <c r="H172" s="8">
        <v>460</v>
      </c>
      <c r="I172" s="8">
        <v>1316</v>
      </c>
      <c r="J172" s="8">
        <v>18164</v>
      </c>
      <c r="K172" s="8">
        <v>240641</v>
      </c>
      <c r="L172" s="6" t="s">
        <v>45</v>
      </c>
      <c r="M172" s="48">
        <f>(F172+G172+H172)/[1]!Table23[[#This Row],[Impressions]]</f>
        <v>9.6804800908279948E-2</v>
      </c>
    </row>
    <row r="173" spans="1:13" ht="16.2" customHeight="1" thickBot="1" x14ac:dyDescent="0.35">
      <c r="A173" s="6" t="s">
        <v>208</v>
      </c>
      <c r="B173" s="6" t="s">
        <v>22</v>
      </c>
      <c r="C173" s="7">
        <v>45518</v>
      </c>
      <c r="D173" s="6" t="s">
        <v>34</v>
      </c>
      <c r="E173" s="6" t="s">
        <v>115</v>
      </c>
      <c r="F173" s="8">
        <v>10150</v>
      </c>
      <c r="G173" s="8">
        <v>526</v>
      </c>
      <c r="H173" s="8">
        <v>888</v>
      </c>
      <c r="I173" s="8">
        <v>1313</v>
      </c>
      <c r="J173" s="8">
        <v>51605</v>
      </c>
      <c r="K173" s="8">
        <v>143409</v>
      </c>
      <c r="L173" s="6" t="s">
        <v>16</v>
      </c>
      <c r="M173" s="48">
        <f>(F173+G173+H173)/[1]!Table23[[#This Row],[Impressions]]</f>
        <v>7.1493044822256574E-2</v>
      </c>
    </row>
    <row r="174" spans="1:13" ht="16.2" customHeight="1" thickBot="1" x14ac:dyDescent="0.35">
      <c r="A174" s="6" t="s">
        <v>209</v>
      </c>
      <c r="B174" s="6" t="s">
        <v>13</v>
      </c>
      <c r="C174" s="7">
        <v>45631</v>
      </c>
      <c r="D174" s="6" t="s">
        <v>23</v>
      </c>
      <c r="E174" s="6" t="s">
        <v>50</v>
      </c>
      <c r="F174" s="8">
        <v>4125</v>
      </c>
      <c r="G174" s="8">
        <v>1364</v>
      </c>
      <c r="H174" s="8">
        <v>319</v>
      </c>
      <c r="I174" s="8">
        <v>2848</v>
      </c>
      <c r="J174" s="8">
        <v>15379</v>
      </c>
      <c r="K174" s="8">
        <v>188159</v>
      </c>
      <c r="L174" s="6" t="s">
        <v>45</v>
      </c>
      <c r="M174" s="48">
        <f>(F174+G174+H174)/[1]!Table23[[#This Row],[Impressions]]</f>
        <v>4.1455510984853894E-2</v>
      </c>
    </row>
    <row r="175" spans="1:13" ht="16.2" customHeight="1" thickBot="1" x14ac:dyDescent="0.35">
      <c r="A175" s="6" t="s">
        <v>210</v>
      </c>
      <c r="B175" s="6" t="s">
        <v>18</v>
      </c>
      <c r="C175" s="7">
        <v>45465</v>
      </c>
      <c r="D175" s="6" t="s">
        <v>34</v>
      </c>
      <c r="E175" s="6" t="s">
        <v>15</v>
      </c>
      <c r="F175" s="8">
        <v>13479</v>
      </c>
      <c r="G175" s="8">
        <v>1189</v>
      </c>
      <c r="H175" s="8">
        <v>695</v>
      </c>
      <c r="I175" s="8">
        <v>416</v>
      </c>
      <c r="J175" s="8">
        <v>30229</v>
      </c>
      <c r="K175" s="8">
        <v>45704</v>
      </c>
      <c r="L175" s="6" t="s">
        <v>16</v>
      </c>
      <c r="M175" s="48">
        <f>(F175+G175+H175)/[1]!Table23[[#This Row],[Impressions]]</f>
        <v>9.4246908127208484E-2</v>
      </c>
    </row>
    <row r="176" spans="1:13" ht="16.2" customHeight="1" thickBot="1" x14ac:dyDescent="0.35">
      <c r="A176" s="6" t="s">
        <v>211</v>
      </c>
      <c r="B176" s="6" t="s">
        <v>18</v>
      </c>
      <c r="C176" s="9">
        <v>45938</v>
      </c>
      <c r="D176" s="6" t="s">
        <v>23</v>
      </c>
      <c r="E176" s="6" t="s">
        <v>50</v>
      </c>
      <c r="F176" s="8">
        <v>17745</v>
      </c>
      <c r="G176" s="8">
        <v>414</v>
      </c>
      <c r="H176" s="8">
        <v>563</v>
      </c>
      <c r="I176" s="8">
        <v>2733</v>
      </c>
      <c r="J176" s="8">
        <v>995</v>
      </c>
      <c r="K176" s="8">
        <v>231648</v>
      </c>
      <c r="L176" s="6" t="s">
        <v>20</v>
      </c>
      <c r="M176" s="48">
        <f>(F176+G176+H176)/[1]!Table23[[#This Row],[Impressions]]</f>
        <v>0.14581337570192451</v>
      </c>
    </row>
    <row r="177" spans="1:13" ht="16.2" customHeight="1" thickBot="1" x14ac:dyDescent="0.35">
      <c r="A177" s="6" t="s">
        <v>212</v>
      </c>
      <c r="B177" s="6" t="s">
        <v>40</v>
      </c>
      <c r="C177" s="9">
        <v>45939</v>
      </c>
      <c r="D177" s="6" t="s">
        <v>34</v>
      </c>
      <c r="E177" s="6" t="s">
        <v>24</v>
      </c>
      <c r="F177" s="8">
        <v>18748</v>
      </c>
      <c r="G177" s="8">
        <v>634</v>
      </c>
      <c r="H177" s="8">
        <v>400</v>
      </c>
      <c r="I177" s="8">
        <v>1667</v>
      </c>
      <c r="J177" s="8">
        <v>75813</v>
      </c>
      <c r="K177" s="8">
        <v>244456</v>
      </c>
      <c r="L177" s="6" t="s">
        <v>20</v>
      </c>
      <c r="M177" s="48">
        <f>(F177+G177+H177)/[1]!Table23[[#This Row],[Impressions]]</f>
        <v>9.1567648134347354E-2</v>
      </c>
    </row>
    <row r="178" spans="1:13" ht="16.2" customHeight="1" thickBot="1" x14ac:dyDescent="0.35">
      <c r="A178" s="6" t="s">
        <v>213</v>
      </c>
      <c r="B178" s="6" t="s">
        <v>13</v>
      </c>
      <c r="C178" s="7">
        <v>45483</v>
      </c>
      <c r="D178" s="6" t="s">
        <v>14</v>
      </c>
      <c r="E178" s="6" t="s">
        <v>55</v>
      </c>
      <c r="F178" s="8">
        <v>8809</v>
      </c>
      <c r="G178" s="8">
        <v>1151</v>
      </c>
      <c r="H178" s="8">
        <v>908</v>
      </c>
      <c r="I178" s="8">
        <v>883</v>
      </c>
      <c r="J178" s="8">
        <v>42921</v>
      </c>
      <c r="K178" s="8">
        <v>151279</v>
      </c>
      <c r="L178" s="6" t="s">
        <v>45</v>
      </c>
      <c r="M178" s="48">
        <f>(F178+G178+H178)/[1]!Table23[[#This Row],[Impressions]]</f>
        <v>4.4847564498291602E-2</v>
      </c>
    </row>
    <row r="179" spans="1:13" ht="16.2" customHeight="1" thickBot="1" x14ac:dyDescent="0.35">
      <c r="A179" s="6" t="s">
        <v>214</v>
      </c>
      <c r="B179" s="6" t="s">
        <v>13</v>
      </c>
      <c r="C179" s="9">
        <v>45940</v>
      </c>
      <c r="D179" s="6" t="s">
        <v>34</v>
      </c>
      <c r="E179" s="6" t="s">
        <v>24</v>
      </c>
      <c r="F179" s="8">
        <v>6621</v>
      </c>
      <c r="G179" s="8">
        <v>922</v>
      </c>
      <c r="H179" s="8">
        <v>930</v>
      </c>
      <c r="I179" s="8">
        <v>694</v>
      </c>
      <c r="J179" s="8">
        <v>839</v>
      </c>
      <c r="K179" s="8">
        <v>243532</v>
      </c>
      <c r="L179" s="6" t="s">
        <v>20</v>
      </c>
      <c r="M179" s="48">
        <f>(F179+G179+H179)/[1]!Table23[[#This Row],[Impressions]]</f>
        <v>8.358736077816252E-2</v>
      </c>
    </row>
    <row r="180" spans="1:13" ht="16.2" customHeight="1" thickBot="1" x14ac:dyDescent="0.35">
      <c r="A180" s="6" t="s">
        <v>215</v>
      </c>
      <c r="B180" s="6" t="s">
        <v>22</v>
      </c>
      <c r="C180" s="7">
        <v>45488</v>
      </c>
      <c r="D180" s="6" t="s">
        <v>14</v>
      </c>
      <c r="E180" s="6" t="s">
        <v>50</v>
      </c>
      <c r="F180" s="8">
        <v>17034</v>
      </c>
      <c r="G180" s="8">
        <v>231</v>
      </c>
      <c r="H180" s="8">
        <v>290</v>
      </c>
      <c r="I180" s="8">
        <v>1387</v>
      </c>
      <c r="J180" s="8">
        <v>63550</v>
      </c>
      <c r="K180" s="8">
        <v>198280</v>
      </c>
      <c r="L180" s="6" t="s">
        <v>45</v>
      </c>
      <c r="M180" s="48">
        <f>(F180+G180+H180)/[1]!Table23[[#This Row],[Impressions]]</f>
        <v>8.0544888118080499E-2</v>
      </c>
    </row>
    <row r="181" spans="1:13" ht="16.2" customHeight="1" thickBot="1" x14ac:dyDescent="0.35">
      <c r="A181" s="6" t="s">
        <v>216</v>
      </c>
      <c r="B181" s="6" t="s">
        <v>13</v>
      </c>
      <c r="C181" s="9">
        <v>45941</v>
      </c>
      <c r="D181" s="6" t="s">
        <v>34</v>
      </c>
      <c r="E181" s="6" t="s">
        <v>37</v>
      </c>
      <c r="F181" s="8">
        <v>15623</v>
      </c>
      <c r="G181" s="8">
        <v>869</v>
      </c>
      <c r="H181" s="8">
        <v>423</v>
      </c>
      <c r="I181" s="8">
        <v>371</v>
      </c>
      <c r="J181" s="8">
        <v>47579</v>
      </c>
      <c r="K181" s="8">
        <v>158516</v>
      </c>
      <c r="L181" s="6" t="s">
        <v>20</v>
      </c>
      <c r="M181" s="48">
        <f>(F181+G181+H181)/[1]!Table23[[#This Row],[Impressions]]</f>
        <v>8.7033254266764767E-2</v>
      </c>
    </row>
    <row r="182" spans="1:13" ht="16.2" customHeight="1" thickBot="1" x14ac:dyDescent="0.35">
      <c r="A182" s="6" t="s">
        <v>217</v>
      </c>
      <c r="B182" s="6" t="s">
        <v>22</v>
      </c>
      <c r="C182" s="9">
        <v>45942</v>
      </c>
      <c r="D182" s="6" t="s">
        <v>34</v>
      </c>
      <c r="E182" s="6" t="s">
        <v>37</v>
      </c>
      <c r="F182" s="8">
        <v>7126</v>
      </c>
      <c r="G182" s="8">
        <v>484</v>
      </c>
      <c r="H182" s="8">
        <v>565</v>
      </c>
      <c r="I182" s="8">
        <v>573</v>
      </c>
      <c r="J182" s="8">
        <v>7389</v>
      </c>
      <c r="K182" s="8">
        <v>237096</v>
      </c>
      <c r="L182" s="6" t="s">
        <v>20</v>
      </c>
      <c r="M182" s="48">
        <f>(F182+G182+H182)/[1]!Table23[[#This Row],[Impressions]]</f>
        <v>5.9869933941675335E-2</v>
      </c>
    </row>
    <row r="183" spans="1:13" ht="16.2" customHeight="1" thickBot="1" x14ac:dyDescent="0.35">
      <c r="A183" s="6" t="s">
        <v>218</v>
      </c>
      <c r="B183" s="6" t="s">
        <v>13</v>
      </c>
      <c r="C183" s="7">
        <v>45504</v>
      </c>
      <c r="D183" s="6" t="s">
        <v>27</v>
      </c>
      <c r="E183" s="6" t="s">
        <v>24</v>
      </c>
      <c r="F183" s="8">
        <v>7122</v>
      </c>
      <c r="G183" s="8">
        <v>628</v>
      </c>
      <c r="H183" s="8">
        <v>757</v>
      </c>
      <c r="I183" s="8">
        <v>2313</v>
      </c>
      <c r="J183" s="8">
        <v>50924</v>
      </c>
      <c r="K183" s="8">
        <v>210954</v>
      </c>
      <c r="L183" s="6" t="s">
        <v>45</v>
      </c>
      <c r="M183" s="48">
        <f>(F183+G183+H183)/[1]!Table23[[#This Row],[Impressions]]</f>
        <v>5.6581310276022617E-2</v>
      </c>
    </row>
    <row r="184" spans="1:13" ht="16.2" customHeight="1" thickBot="1" x14ac:dyDescent="0.35">
      <c r="A184" s="6" t="s">
        <v>219</v>
      </c>
      <c r="B184" s="6" t="s">
        <v>40</v>
      </c>
      <c r="C184" s="7">
        <v>45643</v>
      </c>
      <c r="D184" s="6" t="s">
        <v>14</v>
      </c>
      <c r="E184" s="6" t="s">
        <v>37</v>
      </c>
      <c r="F184" s="8">
        <v>20030</v>
      </c>
      <c r="G184" s="8">
        <v>485</v>
      </c>
      <c r="H184" s="8">
        <v>888</v>
      </c>
      <c r="I184" s="8">
        <v>1643</v>
      </c>
      <c r="J184" s="8">
        <v>4322</v>
      </c>
      <c r="K184" s="8">
        <v>196995</v>
      </c>
      <c r="L184" s="6" t="s">
        <v>25</v>
      </c>
      <c r="M184" s="48">
        <f>(F184+G184+H184)/[1]!Table23[[#This Row],[Impressions]]</f>
        <v>8.6379394541103161E-2</v>
      </c>
    </row>
    <row r="185" spans="1:13" ht="16.2" customHeight="1" thickBot="1" x14ac:dyDescent="0.35">
      <c r="A185" s="6" t="s">
        <v>220</v>
      </c>
      <c r="B185" s="6" t="s">
        <v>13</v>
      </c>
      <c r="C185" s="9">
        <v>45943</v>
      </c>
      <c r="D185" s="6" t="s">
        <v>27</v>
      </c>
      <c r="E185" s="6" t="s">
        <v>50</v>
      </c>
      <c r="F185" s="8">
        <v>19302</v>
      </c>
      <c r="G185" s="8">
        <v>1367</v>
      </c>
      <c r="H185" s="8">
        <v>188</v>
      </c>
      <c r="I185" s="8">
        <v>637</v>
      </c>
      <c r="J185" s="8">
        <v>31404</v>
      </c>
      <c r="K185" s="8">
        <v>154044</v>
      </c>
      <c r="L185" s="6" t="s">
        <v>20</v>
      </c>
      <c r="M185" s="48">
        <f>(F185+G185+H185)/[1]!Table23[[#This Row],[Impressions]]</f>
        <v>0.17384744900936044</v>
      </c>
    </row>
    <row r="186" spans="1:13" ht="16.2" customHeight="1" thickBot="1" x14ac:dyDescent="0.35">
      <c r="A186" s="6" t="s">
        <v>221</v>
      </c>
      <c r="B186" s="6" t="s">
        <v>22</v>
      </c>
      <c r="C186" s="7">
        <v>45668</v>
      </c>
      <c r="D186" s="6" t="s">
        <v>14</v>
      </c>
      <c r="E186" s="6" t="s">
        <v>19</v>
      </c>
      <c r="F186" s="8">
        <v>21181</v>
      </c>
      <c r="G186" s="8">
        <v>1242</v>
      </c>
      <c r="H186" s="8">
        <v>963</v>
      </c>
      <c r="I186" s="8">
        <v>1689</v>
      </c>
      <c r="J186" s="8">
        <v>49329</v>
      </c>
      <c r="K186" s="8">
        <v>69165</v>
      </c>
      <c r="L186" s="6" t="s">
        <v>16</v>
      </c>
      <c r="M186" s="48">
        <f>(F186+G186+H186)/[1]!Table23[[#This Row],[Impressions]]</f>
        <v>0.12541427575481312</v>
      </c>
    </row>
    <row r="187" spans="1:13" ht="16.2" customHeight="1" thickBot="1" x14ac:dyDescent="0.35">
      <c r="A187" s="6" t="s">
        <v>222</v>
      </c>
      <c r="B187" s="6" t="s">
        <v>22</v>
      </c>
      <c r="C187" s="7">
        <v>45528</v>
      </c>
      <c r="D187" s="6" t="s">
        <v>27</v>
      </c>
      <c r="E187" s="6" t="s">
        <v>24</v>
      </c>
      <c r="F187" s="8">
        <v>24890</v>
      </c>
      <c r="G187" s="8">
        <v>217</v>
      </c>
      <c r="H187" s="8">
        <v>178</v>
      </c>
      <c r="I187" s="8">
        <v>906</v>
      </c>
      <c r="J187" s="8">
        <v>54826</v>
      </c>
      <c r="K187" s="8">
        <v>107203</v>
      </c>
      <c r="L187" s="6" t="s">
        <v>25</v>
      </c>
      <c r="M187" s="48">
        <f>(F187+G187+H187)/[1]!Table23[[#This Row],[Impressions]]</f>
        <v>0.10343374676833458</v>
      </c>
    </row>
    <row r="188" spans="1:13" ht="16.2" customHeight="1" thickBot="1" x14ac:dyDescent="0.35">
      <c r="A188" s="6" t="s">
        <v>223</v>
      </c>
      <c r="B188" s="6" t="s">
        <v>40</v>
      </c>
      <c r="C188" s="7">
        <v>45648</v>
      </c>
      <c r="D188" s="6" t="s">
        <v>23</v>
      </c>
      <c r="E188" s="6" t="s">
        <v>115</v>
      </c>
      <c r="F188" s="8">
        <v>7870</v>
      </c>
      <c r="G188" s="8">
        <v>968</v>
      </c>
      <c r="H188" s="8">
        <v>626</v>
      </c>
      <c r="I188" s="8">
        <v>465</v>
      </c>
      <c r="J188" s="8">
        <v>27184</v>
      </c>
      <c r="K188" s="8">
        <v>44114</v>
      </c>
      <c r="L188" s="6" t="s">
        <v>45</v>
      </c>
      <c r="M188" s="48">
        <f>(F188+G188+H188)/[1]!Table23[[#This Row],[Impressions]]</f>
        <v>4.0855090482110785E-2</v>
      </c>
    </row>
    <row r="189" spans="1:13" ht="16.2" customHeight="1" thickBot="1" x14ac:dyDescent="0.35">
      <c r="A189" s="6" t="s">
        <v>224</v>
      </c>
      <c r="B189" s="6" t="s">
        <v>13</v>
      </c>
      <c r="C189" s="7">
        <v>45449</v>
      </c>
      <c r="D189" s="6" t="s">
        <v>34</v>
      </c>
      <c r="E189" s="6" t="s">
        <v>115</v>
      </c>
      <c r="F189" s="8">
        <v>3531</v>
      </c>
      <c r="G189" s="8">
        <v>789</v>
      </c>
      <c r="H189" s="8">
        <v>467</v>
      </c>
      <c r="I189" s="8">
        <v>1867</v>
      </c>
      <c r="J189" s="8">
        <v>40816</v>
      </c>
      <c r="K189" s="8">
        <v>236037</v>
      </c>
      <c r="L189" s="6" t="s">
        <v>25</v>
      </c>
      <c r="M189" s="48">
        <f>(F189+G189+H189)/[1]!Table23[[#This Row],[Impressions]]</f>
        <v>3.5809395571514066E-2</v>
      </c>
    </row>
    <row r="190" spans="1:13" ht="16.2" customHeight="1" thickBot="1" x14ac:dyDescent="0.35">
      <c r="A190" s="6" t="s">
        <v>225</v>
      </c>
      <c r="B190" s="6" t="s">
        <v>13</v>
      </c>
      <c r="C190" s="7">
        <v>45740</v>
      </c>
      <c r="D190" s="6" t="s">
        <v>14</v>
      </c>
      <c r="E190" s="6" t="s">
        <v>32</v>
      </c>
      <c r="F190" s="8">
        <v>10172</v>
      </c>
      <c r="G190" s="8">
        <v>1398</v>
      </c>
      <c r="H190" s="8">
        <v>394</v>
      </c>
      <c r="I190" s="8">
        <v>2358</v>
      </c>
      <c r="J190" s="8">
        <v>59610</v>
      </c>
      <c r="K190" s="8">
        <v>76321</v>
      </c>
      <c r="L190" s="6" t="s">
        <v>29</v>
      </c>
      <c r="M190" s="48">
        <f>(F190+G190+H190)/[1]!Table23[[#This Row],[Impressions]]</f>
        <v>8.3425726418844007E-2</v>
      </c>
    </row>
    <row r="191" spans="1:13" ht="16.2" customHeight="1" thickBot="1" x14ac:dyDescent="0.35">
      <c r="A191" s="6" t="s">
        <v>226</v>
      </c>
      <c r="B191" s="6" t="s">
        <v>40</v>
      </c>
      <c r="C191" s="7">
        <v>45569</v>
      </c>
      <c r="D191" s="6" t="s">
        <v>14</v>
      </c>
      <c r="E191" s="6" t="s">
        <v>35</v>
      </c>
      <c r="F191" s="8">
        <v>21729</v>
      </c>
      <c r="G191" s="8">
        <v>1209</v>
      </c>
      <c r="H191" s="8">
        <v>897</v>
      </c>
      <c r="I191" s="8">
        <v>1624</v>
      </c>
      <c r="J191" s="8">
        <v>38771</v>
      </c>
      <c r="K191" s="8">
        <v>113297</v>
      </c>
      <c r="L191" s="6" t="s">
        <v>29</v>
      </c>
      <c r="M191" s="48">
        <f>(F191+G191+H191)/[1]!Table23[[#This Row],[Impressions]]</f>
        <v>0.17442115739250066</v>
      </c>
    </row>
    <row r="192" spans="1:13" ht="16.2" customHeight="1" thickBot="1" x14ac:dyDescent="0.35">
      <c r="A192" s="6" t="s">
        <v>227</v>
      </c>
      <c r="B192" s="6" t="s">
        <v>13</v>
      </c>
      <c r="C192" s="9">
        <v>45944</v>
      </c>
      <c r="D192" s="6" t="s">
        <v>34</v>
      </c>
      <c r="E192" s="6" t="s">
        <v>55</v>
      </c>
      <c r="F192" s="8">
        <v>9673</v>
      </c>
      <c r="G192" s="8">
        <v>393</v>
      </c>
      <c r="H192" s="8">
        <v>846</v>
      </c>
      <c r="I192" s="8">
        <v>1028</v>
      </c>
      <c r="J192" s="8">
        <v>55556</v>
      </c>
      <c r="K192" s="8">
        <v>136652</v>
      </c>
      <c r="L192" s="6" t="s">
        <v>20</v>
      </c>
      <c r="M192" s="48">
        <f>(F192+G192+H192)/[1]!Table23[[#This Row],[Impressions]]</f>
        <v>4.627572051364693E-2</v>
      </c>
    </row>
    <row r="193" spans="1:13" ht="16.2" customHeight="1" thickBot="1" x14ac:dyDescent="0.35">
      <c r="A193" s="6" t="s">
        <v>228</v>
      </c>
      <c r="B193" s="6" t="s">
        <v>13</v>
      </c>
      <c r="C193" s="9">
        <v>45945</v>
      </c>
      <c r="D193" s="6" t="s">
        <v>14</v>
      </c>
      <c r="E193" s="6" t="s">
        <v>37</v>
      </c>
      <c r="F193" s="8">
        <v>8882</v>
      </c>
      <c r="G193" s="8">
        <v>701</v>
      </c>
      <c r="H193" s="8">
        <v>421</v>
      </c>
      <c r="I193" s="8">
        <v>2343</v>
      </c>
      <c r="J193" s="8">
        <v>13588</v>
      </c>
      <c r="K193" s="8">
        <v>139304</v>
      </c>
      <c r="L193" s="6" t="s">
        <v>20</v>
      </c>
      <c r="M193" s="48">
        <f>(F193+G193+H193)/[1]!Table23[[#This Row],[Impressions]]</f>
        <v>4.6808032789953401E-2</v>
      </c>
    </row>
    <row r="194" spans="1:13" ht="16.2" customHeight="1" thickBot="1" x14ac:dyDescent="0.35">
      <c r="A194" s="6" t="s">
        <v>229</v>
      </c>
      <c r="B194" s="6" t="s">
        <v>22</v>
      </c>
      <c r="C194" s="7">
        <v>45546</v>
      </c>
      <c r="D194" s="6" t="s">
        <v>14</v>
      </c>
      <c r="E194" s="6" t="s">
        <v>37</v>
      </c>
      <c r="F194" s="8">
        <v>3906</v>
      </c>
      <c r="G194" s="8">
        <v>1187</v>
      </c>
      <c r="H194" s="8">
        <v>589</v>
      </c>
      <c r="I194" s="8">
        <v>401</v>
      </c>
      <c r="J194" s="8">
        <v>52687</v>
      </c>
      <c r="K194" s="8">
        <v>196498</v>
      </c>
      <c r="L194" s="6" t="s">
        <v>16</v>
      </c>
      <c r="M194" s="48">
        <f>(F194+G194+H194)/[1]!Table23[[#This Row],[Impressions]]</f>
        <v>2.5445019144219788E-2</v>
      </c>
    </row>
    <row r="195" spans="1:13" ht="16.2" customHeight="1" thickBot="1" x14ac:dyDescent="0.35">
      <c r="A195" s="6" t="s">
        <v>230</v>
      </c>
      <c r="B195" s="6" t="s">
        <v>13</v>
      </c>
      <c r="C195" s="7">
        <v>45567</v>
      </c>
      <c r="D195" s="6" t="s">
        <v>27</v>
      </c>
      <c r="E195" s="6" t="s">
        <v>35</v>
      </c>
      <c r="F195" s="8">
        <v>5086</v>
      </c>
      <c r="G195" s="8">
        <v>1336</v>
      </c>
      <c r="H195" s="8">
        <v>897</v>
      </c>
      <c r="I195" s="8">
        <v>1715</v>
      </c>
      <c r="J195" s="8">
        <v>60592</v>
      </c>
      <c r="K195" s="8">
        <v>57772</v>
      </c>
      <c r="L195" s="6" t="s">
        <v>25</v>
      </c>
      <c r="M195" s="48">
        <f>(F195+G195+H195)/[1]!Table23[[#This Row],[Impressions]]</f>
        <v>6.1431413199486321E-2</v>
      </c>
    </row>
    <row r="196" spans="1:13" ht="16.2" customHeight="1" thickBot="1" x14ac:dyDescent="0.35">
      <c r="A196" s="6" t="s">
        <v>231</v>
      </c>
      <c r="B196" s="6" t="s">
        <v>13</v>
      </c>
      <c r="C196" s="7">
        <v>45519</v>
      </c>
      <c r="D196" s="6" t="s">
        <v>14</v>
      </c>
      <c r="E196" s="6" t="s">
        <v>41</v>
      </c>
      <c r="F196" s="8">
        <v>15503</v>
      </c>
      <c r="G196" s="8">
        <v>313</v>
      </c>
      <c r="H196" s="8">
        <v>388</v>
      </c>
      <c r="I196" s="8">
        <v>1078</v>
      </c>
      <c r="J196" s="8">
        <v>11500</v>
      </c>
      <c r="K196" s="8">
        <v>143754</v>
      </c>
      <c r="L196" s="6" t="s">
        <v>29</v>
      </c>
      <c r="M196" s="48">
        <f>(F196+G196+H196)/[1]!Table23[[#This Row],[Impressions]]</f>
        <v>0.13937725787029073</v>
      </c>
    </row>
    <row r="197" spans="1:13" ht="16.2" customHeight="1" thickBot="1" x14ac:dyDescent="0.35">
      <c r="A197" s="6" t="s">
        <v>232</v>
      </c>
      <c r="B197" s="6" t="s">
        <v>40</v>
      </c>
      <c r="C197" s="9">
        <v>45918</v>
      </c>
      <c r="D197" s="6" t="s">
        <v>23</v>
      </c>
      <c r="E197" s="6" t="s">
        <v>64</v>
      </c>
      <c r="F197" s="8">
        <v>10152</v>
      </c>
      <c r="G197" s="8">
        <v>1445</v>
      </c>
      <c r="H197" s="8">
        <v>526</v>
      </c>
      <c r="I197" s="8">
        <v>513</v>
      </c>
      <c r="J197" s="8">
        <v>18959</v>
      </c>
      <c r="K197" s="8">
        <v>43712</v>
      </c>
      <c r="L197" s="6" t="s">
        <v>20</v>
      </c>
      <c r="M197" s="48">
        <f>(F197+G197+H197)/[1]!Table23[[#This Row],[Impressions]]</f>
        <v>5.6473251718933422E-2</v>
      </c>
    </row>
    <row r="198" spans="1:13" ht="16.2" customHeight="1" thickBot="1" x14ac:dyDescent="0.35">
      <c r="A198" s="6" t="s">
        <v>233</v>
      </c>
      <c r="B198" s="6" t="s">
        <v>40</v>
      </c>
      <c r="C198" s="7">
        <v>45587</v>
      </c>
      <c r="D198" s="6" t="s">
        <v>23</v>
      </c>
      <c r="E198" s="6" t="s">
        <v>24</v>
      </c>
      <c r="F198" s="8">
        <v>7750</v>
      </c>
      <c r="G198" s="8">
        <v>1146</v>
      </c>
      <c r="H198" s="8">
        <v>415</v>
      </c>
      <c r="I198" s="8">
        <v>1411</v>
      </c>
      <c r="J198" s="8">
        <v>85339</v>
      </c>
      <c r="K198" s="8">
        <v>172439</v>
      </c>
      <c r="L198" s="6" t="s">
        <v>25</v>
      </c>
      <c r="M198" s="48">
        <f>(F198+G198+H198)/[1]!Table23[[#This Row],[Impressions]]</f>
        <v>5.08039918591391E-2</v>
      </c>
    </row>
    <row r="199" spans="1:13" ht="16.2" customHeight="1" thickBot="1" x14ac:dyDescent="0.35">
      <c r="A199" s="6" t="s">
        <v>234</v>
      </c>
      <c r="B199" s="6" t="s">
        <v>18</v>
      </c>
      <c r="C199" s="9">
        <v>45919</v>
      </c>
      <c r="D199" s="6" t="s">
        <v>34</v>
      </c>
      <c r="E199" s="6" t="s">
        <v>28</v>
      </c>
      <c r="F199" s="8">
        <v>14772</v>
      </c>
      <c r="G199" s="8">
        <v>1030</v>
      </c>
      <c r="H199" s="8">
        <v>508</v>
      </c>
      <c r="I199" s="8">
        <v>1876</v>
      </c>
      <c r="J199" s="8">
        <v>8882</v>
      </c>
      <c r="K199" s="8">
        <v>155142</v>
      </c>
      <c r="L199" s="6" t="s">
        <v>20</v>
      </c>
      <c r="M199" s="48">
        <f>(F199+G199+H199)/[1]!Table23[[#This Row],[Impressions]]</f>
        <v>7.5492483151892179E-2</v>
      </c>
    </row>
    <row r="200" spans="1:13" ht="16.2" customHeight="1" thickBot="1" x14ac:dyDescent="0.35">
      <c r="A200" s="6" t="s">
        <v>235</v>
      </c>
      <c r="B200" s="6" t="s">
        <v>22</v>
      </c>
      <c r="C200" s="9">
        <v>45920</v>
      </c>
      <c r="D200" s="6" t="s">
        <v>14</v>
      </c>
      <c r="E200" s="6" t="s">
        <v>37</v>
      </c>
      <c r="F200" s="8">
        <v>12267</v>
      </c>
      <c r="G200" s="8">
        <v>1487</v>
      </c>
      <c r="H200" s="8">
        <v>489</v>
      </c>
      <c r="I200" s="8">
        <v>2748</v>
      </c>
      <c r="J200" s="8">
        <v>34685</v>
      </c>
      <c r="K200" s="8">
        <v>131736</v>
      </c>
      <c r="L200" s="6" t="s">
        <v>20</v>
      </c>
      <c r="M200" s="48">
        <f>(F200+G200+H200)/[1]!Table23[[#This Row],[Impressions]]</f>
        <v>0.14072442002924554</v>
      </c>
    </row>
    <row r="201" spans="1:13" ht="16.2" customHeight="1" thickBot="1" x14ac:dyDescent="0.35">
      <c r="A201" s="6" t="s">
        <v>236</v>
      </c>
      <c r="B201" s="6" t="s">
        <v>13</v>
      </c>
      <c r="C201" s="7">
        <v>45754</v>
      </c>
      <c r="D201" s="6" t="s">
        <v>34</v>
      </c>
      <c r="E201" s="6" t="s">
        <v>55</v>
      </c>
      <c r="F201" s="8">
        <v>3062</v>
      </c>
      <c r="G201" s="8">
        <v>1124</v>
      </c>
      <c r="H201" s="8">
        <v>538</v>
      </c>
      <c r="I201" s="8">
        <v>2935</v>
      </c>
      <c r="J201" s="8">
        <v>69749</v>
      </c>
      <c r="K201" s="8">
        <v>91924</v>
      </c>
      <c r="L201" s="6" t="s">
        <v>29</v>
      </c>
      <c r="M201" s="48">
        <f>(F201+G201+H201)/[1]!Table23[[#This Row],[Impressions]]</f>
        <v>1.9954970367460387E-2</v>
      </c>
    </row>
    <row r="202" spans="1:13" ht="16.2" customHeight="1" thickBot="1" x14ac:dyDescent="0.35">
      <c r="A202" s="6" t="s">
        <v>237</v>
      </c>
      <c r="B202" s="6" t="s">
        <v>13</v>
      </c>
      <c r="C202" s="7">
        <v>45672</v>
      </c>
      <c r="D202" s="6" t="s">
        <v>23</v>
      </c>
      <c r="E202" s="6" t="s">
        <v>32</v>
      </c>
      <c r="F202" s="8">
        <v>20360</v>
      </c>
      <c r="G202" s="8">
        <v>254</v>
      </c>
      <c r="H202" s="8">
        <v>726</v>
      </c>
      <c r="I202" s="8">
        <v>1995</v>
      </c>
      <c r="J202" s="8">
        <v>14280</v>
      </c>
      <c r="K202" s="8">
        <v>43726</v>
      </c>
      <c r="L202" s="6" t="s">
        <v>29</v>
      </c>
      <c r="M202" s="48">
        <f>(F202+G202+H202)/[1]!Table23[[#This Row],[Impressions]]</f>
        <v>0.11855621420119</v>
      </c>
    </row>
    <row r="203" spans="1:13" ht="16.2" customHeight="1" thickBot="1" x14ac:dyDescent="0.35">
      <c r="A203" s="6" t="s">
        <v>238</v>
      </c>
      <c r="B203" s="6" t="s">
        <v>18</v>
      </c>
      <c r="C203" s="9">
        <v>45921</v>
      </c>
      <c r="D203" s="6" t="s">
        <v>14</v>
      </c>
      <c r="E203" s="6" t="s">
        <v>115</v>
      </c>
      <c r="F203" s="8">
        <v>19680</v>
      </c>
      <c r="G203" s="8">
        <v>999</v>
      </c>
      <c r="H203" s="8">
        <v>838</v>
      </c>
      <c r="I203" s="8">
        <v>891</v>
      </c>
      <c r="J203" s="8">
        <v>29576</v>
      </c>
      <c r="K203" s="8">
        <v>129152</v>
      </c>
      <c r="L203" s="6" t="s">
        <v>20</v>
      </c>
      <c r="M203" s="48">
        <f>(F203+G203+H203)/[1]!Table23[[#This Row],[Impressions]]</f>
        <v>0.23000288612628406</v>
      </c>
    </row>
    <row r="204" spans="1:13" ht="16.2" customHeight="1" thickBot="1" x14ac:dyDescent="0.35">
      <c r="A204" s="6" t="s">
        <v>239</v>
      </c>
      <c r="B204" s="6" t="s">
        <v>13</v>
      </c>
      <c r="C204" s="7">
        <v>45617</v>
      </c>
      <c r="D204" s="6" t="s">
        <v>14</v>
      </c>
      <c r="E204" s="6" t="s">
        <v>37</v>
      </c>
      <c r="F204" s="8">
        <v>8229</v>
      </c>
      <c r="G204" s="8">
        <v>977</v>
      </c>
      <c r="H204" s="8">
        <v>152</v>
      </c>
      <c r="I204" s="8">
        <v>1633</v>
      </c>
      <c r="J204" s="8">
        <v>71447</v>
      </c>
      <c r="K204" s="8">
        <v>67723</v>
      </c>
      <c r="L204" s="6" t="s">
        <v>45</v>
      </c>
      <c r="M204" s="48">
        <f>(F204+G204+H204)/[1]!Table23[[#This Row],[Impressions]]</f>
        <v>4.7253557398075116E-2</v>
      </c>
    </row>
    <row r="205" spans="1:13" ht="16.2" customHeight="1" thickBot="1" x14ac:dyDescent="0.35">
      <c r="A205" s="6" t="s">
        <v>240</v>
      </c>
      <c r="B205" s="6" t="s">
        <v>22</v>
      </c>
      <c r="C205" s="9">
        <v>45922</v>
      </c>
      <c r="D205" s="6" t="s">
        <v>34</v>
      </c>
      <c r="E205" s="6" t="s">
        <v>32</v>
      </c>
      <c r="F205" s="8">
        <v>18509</v>
      </c>
      <c r="G205" s="8">
        <v>361</v>
      </c>
      <c r="H205" s="8">
        <v>578</v>
      </c>
      <c r="I205" s="8">
        <v>1409</v>
      </c>
      <c r="J205" s="8">
        <v>10569</v>
      </c>
      <c r="K205" s="8">
        <v>166969</v>
      </c>
      <c r="L205" s="6" t="s">
        <v>20</v>
      </c>
      <c r="M205" s="48">
        <f>(F205+G205+H205)/[1]!Table23[[#This Row],[Impressions]]</f>
        <v>0.11557821795123227</v>
      </c>
    </row>
    <row r="206" spans="1:13" ht="16.2" customHeight="1" thickBot="1" x14ac:dyDescent="0.35">
      <c r="A206" s="6" t="s">
        <v>241</v>
      </c>
      <c r="B206" s="6" t="s">
        <v>18</v>
      </c>
      <c r="C206" s="9">
        <v>45923</v>
      </c>
      <c r="D206" s="6" t="s">
        <v>23</v>
      </c>
      <c r="E206" s="6" t="s">
        <v>50</v>
      </c>
      <c r="F206" s="8">
        <v>17147</v>
      </c>
      <c r="G206" s="8">
        <v>286</v>
      </c>
      <c r="H206" s="8">
        <v>291</v>
      </c>
      <c r="I206" s="8">
        <v>2439</v>
      </c>
      <c r="J206" s="8">
        <v>45631</v>
      </c>
      <c r="K206" s="8">
        <v>140494</v>
      </c>
      <c r="L206" s="6" t="s">
        <v>20</v>
      </c>
      <c r="M206" s="48">
        <f>(F206+G206+H206)/[1]!Table23[[#This Row],[Impressions]]</f>
        <v>0.10499813391942087</v>
      </c>
    </row>
    <row r="207" spans="1:13" ht="16.2" customHeight="1" thickBot="1" x14ac:dyDescent="0.35">
      <c r="A207" s="6" t="s">
        <v>242</v>
      </c>
      <c r="B207" s="6" t="s">
        <v>22</v>
      </c>
      <c r="C207" s="7">
        <v>45467</v>
      </c>
      <c r="D207" s="6" t="s">
        <v>14</v>
      </c>
      <c r="E207" s="6" t="s">
        <v>50</v>
      </c>
      <c r="F207" s="8">
        <v>6632</v>
      </c>
      <c r="G207" s="8">
        <v>254</v>
      </c>
      <c r="H207" s="8">
        <v>525</v>
      </c>
      <c r="I207" s="8">
        <v>1013</v>
      </c>
      <c r="J207" s="8">
        <v>13838</v>
      </c>
      <c r="K207" s="8">
        <v>180180</v>
      </c>
      <c r="L207" s="6" t="s">
        <v>16</v>
      </c>
      <c r="M207" s="48">
        <f>(F207+G207+H207)/[1]!Table23[[#This Row],[Impressions]]</f>
        <v>3.6616336291231052E-2</v>
      </c>
    </row>
    <row r="208" spans="1:13" ht="16.2" customHeight="1" thickBot="1" x14ac:dyDescent="0.35">
      <c r="A208" s="6" t="s">
        <v>243</v>
      </c>
      <c r="B208" s="6" t="s">
        <v>18</v>
      </c>
      <c r="C208" s="7">
        <v>45655</v>
      </c>
      <c r="D208" s="6" t="s">
        <v>34</v>
      </c>
      <c r="E208" s="6" t="s">
        <v>64</v>
      </c>
      <c r="F208" s="8">
        <v>8288</v>
      </c>
      <c r="G208" s="8">
        <v>1401</v>
      </c>
      <c r="H208" s="8">
        <v>819</v>
      </c>
      <c r="I208" s="8">
        <v>1235</v>
      </c>
      <c r="J208" s="8">
        <v>33446</v>
      </c>
      <c r="K208" s="8">
        <v>248786</v>
      </c>
      <c r="L208" s="6" t="s">
        <v>16</v>
      </c>
      <c r="M208" s="48">
        <f>(F208+G208+H208)/[1]!Table23[[#This Row],[Impressions]]</f>
        <v>4.788639967917753E-2</v>
      </c>
    </row>
    <row r="209" spans="1:13" ht="16.2" customHeight="1" thickBot="1" x14ac:dyDescent="0.35">
      <c r="A209" s="6" t="s">
        <v>244</v>
      </c>
      <c r="B209" s="6" t="s">
        <v>18</v>
      </c>
      <c r="C209" s="7">
        <v>45467</v>
      </c>
      <c r="D209" s="6" t="s">
        <v>23</v>
      </c>
      <c r="E209" s="6" t="s">
        <v>19</v>
      </c>
      <c r="F209" s="8">
        <v>5596</v>
      </c>
      <c r="G209" s="8">
        <v>1231</v>
      </c>
      <c r="H209" s="8">
        <v>473</v>
      </c>
      <c r="I209" s="8">
        <v>2251</v>
      </c>
      <c r="J209" s="8">
        <v>43705</v>
      </c>
      <c r="K209" s="8">
        <v>75643</v>
      </c>
      <c r="L209" s="6" t="s">
        <v>16</v>
      </c>
      <c r="M209" s="48">
        <f>(F209+G209+H209)/[1]!Table23[[#This Row],[Impressions]]</f>
        <v>4.1516902497838848E-2</v>
      </c>
    </row>
    <row r="210" spans="1:13" ht="16.2" customHeight="1" thickBot="1" x14ac:dyDescent="0.35">
      <c r="A210" s="6" t="s">
        <v>245</v>
      </c>
      <c r="B210" s="6" t="s">
        <v>40</v>
      </c>
      <c r="C210" s="7">
        <v>45735</v>
      </c>
      <c r="D210" s="6" t="s">
        <v>34</v>
      </c>
      <c r="E210" s="6" t="s">
        <v>28</v>
      </c>
      <c r="F210" s="8">
        <v>13475</v>
      </c>
      <c r="G210" s="8">
        <v>1032</v>
      </c>
      <c r="H210" s="8">
        <v>295</v>
      </c>
      <c r="I210" s="8">
        <v>541</v>
      </c>
      <c r="J210" s="8">
        <v>43666</v>
      </c>
      <c r="K210" s="8">
        <v>202396</v>
      </c>
      <c r="L210" s="6" t="s">
        <v>45</v>
      </c>
      <c r="M210" s="48">
        <f>(F210+G210+H210)/[1]!Table23[[#This Row],[Impressions]]</f>
        <v>8.6213022231800149E-2</v>
      </c>
    </row>
    <row r="211" spans="1:13" ht="16.2" customHeight="1" thickBot="1" x14ac:dyDescent="0.35">
      <c r="A211" s="6" t="s">
        <v>246</v>
      </c>
      <c r="B211" s="6" t="s">
        <v>22</v>
      </c>
      <c r="C211" s="7">
        <v>45707</v>
      </c>
      <c r="D211" s="6" t="s">
        <v>27</v>
      </c>
      <c r="E211" s="6" t="s">
        <v>41</v>
      </c>
      <c r="F211" s="8">
        <v>8168</v>
      </c>
      <c r="G211" s="8">
        <v>512</v>
      </c>
      <c r="H211" s="8">
        <v>442</v>
      </c>
      <c r="I211" s="8">
        <v>2343</v>
      </c>
      <c r="J211" s="8">
        <v>2753</v>
      </c>
      <c r="K211" s="8">
        <v>143896</v>
      </c>
      <c r="L211" s="6" t="s">
        <v>45</v>
      </c>
      <c r="M211" s="48">
        <f>(F211+G211+H211)/[1]!Table23[[#This Row],[Impressions]]</f>
        <v>6.0299182305541418E-2</v>
      </c>
    </row>
    <row r="212" spans="1:13" ht="16.2" customHeight="1" thickBot="1" x14ac:dyDescent="0.35">
      <c r="A212" s="6" t="s">
        <v>247</v>
      </c>
      <c r="B212" s="6" t="s">
        <v>13</v>
      </c>
      <c r="C212" s="9">
        <v>45924</v>
      </c>
      <c r="D212" s="6" t="s">
        <v>14</v>
      </c>
      <c r="E212" s="6" t="s">
        <v>64</v>
      </c>
      <c r="F212" s="8">
        <v>11795</v>
      </c>
      <c r="G212" s="8">
        <v>958</v>
      </c>
      <c r="H212" s="8">
        <v>814</v>
      </c>
      <c r="I212" s="8">
        <v>301</v>
      </c>
      <c r="J212" s="8">
        <v>12564</v>
      </c>
      <c r="K212" s="8">
        <v>179999</v>
      </c>
      <c r="L212" s="6" t="s">
        <v>20</v>
      </c>
      <c r="M212" s="48">
        <f>(F212+G212+H212)/[1]!Table23[[#This Row],[Impressions]]</f>
        <v>9.7391316832251759E-2</v>
      </c>
    </row>
    <row r="213" spans="1:13" ht="16.2" customHeight="1" thickBot="1" x14ac:dyDescent="0.35">
      <c r="A213" s="6" t="s">
        <v>248</v>
      </c>
      <c r="B213" s="6" t="s">
        <v>13</v>
      </c>
      <c r="C213" s="7">
        <v>45719</v>
      </c>
      <c r="D213" s="6" t="s">
        <v>27</v>
      </c>
      <c r="E213" s="6" t="s">
        <v>15</v>
      </c>
      <c r="F213" s="8">
        <v>9561</v>
      </c>
      <c r="G213" s="8">
        <v>642</v>
      </c>
      <c r="H213" s="8">
        <v>581</v>
      </c>
      <c r="I213" s="8">
        <v>2572</v>
      </c>
      <c r="J213" s="8">
        <v>38552</v>
      </c>
      <c r="K213" s="8">
        <v>133680</v>
      </c>
      <c r="L213" s="6" t="s">
        <v>16</v>
      </c>
      <c r="M213" s="48">
        <f>(F213+G213+H213)/[1]!Table23[[#This Row],[Impressions]]</f>
        <v>8.3342993825013714E-2</v>
      </c>
    </row>
    <row r="214" spans="1:13" ht="16.2" customHeight="1" thickBot="1" x14ac:dyDescent="0.35">
      <c r="A214" s="6" t="s">
        <v>249</v>
      </c>
      <c r="B214" s="6" t="s">
        <v>22</v>
      </c>
      <c r="C214" s="7">
        <v>45778</v>
      </c>
      <c r="D214" s="6" t="s">
        <v>23</v>
      </c>
      <c r="E214" s="6" t="s">
        <v>41</v>
      </c>
      <c r="F214" s="8">
        <v>10258</v>
      </c>
      <c r="G214" s="8">
        <v>527</v>
      </c>
      <c r="H214" s="8">
        <v>854</v>
      </c>
      <c r="I214" s="8">
        <v>2068</v>
      </c>
      <c r="J214" s="8">
        <v>45632</v>
      </c>
      <c r="K214" s="8">
        <v>136546</v>
      </c>
      <c r="L214" s="6" t="s">
        <v>45</v>
      </c>
      <c r="M214" s="48">
        <f>(F214+G214+H214)/[1]!Table23[[#This Row],[Impressions]]</f>
        <v>4.6614921260473237E-2</v>
      </c>
    </row>
    <row r="215" spans="1:13" ht="16.2" customHeight="1" thickBot="1" x14ac:dyDescent="0.35">
      <c r="A215" s="6" t="s">
        <v>250</v>
      </c>
      <c r="B215" s="6" t="s">
        <v>13</v>
      </c>
      <c r="C215" s="7">
        <v>45649</v>
      </c>
      <c r="D215" s="6" t="s">
        <v>27</v>
      </c>
      <c r="E215" s="6" t="s">
        <v>24</v>
      </c>
      <c r="F215" s="8">
        <v>18616</v>
      </c>
      <c r="G215" s="8">
        <v>1277</v>
      </c>
      <c r="H215" s="8">
        <v>734</v>
      </c>
      <c r="I215" s="8">
        <v>2249</v>
      </c>
      <c r="J215" s="8">
        <v>3399</v>
      </c>
      <c r="K215" s="8">
        <v>193515</v>
      </c>
      <c r="L215" s="6" t="s">
        <v>29</v>
      </c>
      <c r="M215" s="48">
        <f>(F215+G215+H215)/[1]!Table23[[#This Row],[Impressions]]</f>
        <v>0.11619994028606355</v>
      </c>
    </row>
    <row r="216" spans="1:13" ht="16.2" customHeight="1" thickBot="1" x14ac:dyDescent="0.35">
      <c r="A216" s="6" t="s">
        <v>251</v>
      </c>
      <c r="B216" s="6" t="s">
        <v>13</v>
      </c>
      <c r="C216" s="9">
        <v>45925</v>
      </c>
      <c r="D216" s="6" t="s">
        <v>27</v>
      </c>
      <c r="E216" s="6" t="s">
        <v>55</v>
      </c>
      <c r="F216" s="8">
        <v>8371</v>
      </c>
      <c r="G216" s="8">
        <v>960</v>
      </c>
      <c r="H216" s="8">
        <v>548</v>
      </c>
      <c r="I216" s="8">
        <v>2936</v>
      </c>
      <c r="J216" s="8">
        <v>82543</v>
      </c>
      <c r="K216" s="8">
        <v>119973</v>
      </c>
      <c r="L216" s="6" t="s">
        <v>20</v>
      </c>
      <c r="M216" s="48">
        <f>(F216+G216+H216)/[1]!Table23[[#This Row],[Impressions]]</f>
        <v>5.1253716011144139E-2</v>
      </c>
    </row>
    <row r="217" spans="1:13" ht="16.2" customHeight="1" thickBot="1" x14ac:dyDescent="0.35">
      <c r="A217" s="6" t="s">
        <v>252</v>
      </c>
      <c r="B217" s="6" t="s">
        <v>22</v>
      </c>
      <c r="C217" s="7">
        <v>45502</v>
      </c>
      <c r="D217" s="6" t="s">
        <v>23</v>
      </c>
      <c r="E217" s="6" t="s">
        <v>15</v>
      </c>
      <c r="F217" s="8">
        <v>22590</v>
      </c>
      <c r="G217" s="8">
        <v>1462</v>
      </c>
      <c r="H217" s="8">
        <v>966</v>
      </c>
      <c r="I217" s="8">
        <v>2463</v>
      </c>
      <c r="J217" s="8">
        <v>29689</v>
      </c>
      <c r="K217" s="8">
        <v>103449</v>
      </c>
      <c r="L217" s="6" t="s">
        <v>25</v>
      </c>
      <c r="M217" s="48">
        <f>(F217+G217+H217)/[1]!Table23[[#This Row],[Impressions]]</f>
        <v>0.10405869679147499</v>
      </c>
    </row>
    <row r="218" spans="1:13" ht="16.2" customHeight="1" thickBot="1" x14ac:dyDescent="0.35">
      <c r="A218" s="6" t="s">
        <v>253</v>
      </c>
      <c r="B218" s="6" t="s">
        <v>18</v>
      </c>
      <c r="C218" s="9">
        <v>45926</v>
      </c>
      <c r="D218" s="6" t="s">
        <v>34</v>
      </c>
      <c r="E218" s="6" t="s">
        <v>15</v>
      </c>
      <c r="F218" s="8">
        <v>16369</v>
      </c>
      <c r="G218" s="8">
        <v>1452</v>
      </c>
      <c r="H218" s="8">
        <v>493</v>
      </c>
      <c r="I218" s="8">
        <v>1217</v>
      </c>
      <c r="J218" s="8">
        <v>91440</v>
      </c>
      <c r="K218" s="8">
        <v>149834</v>
      </c>
      <c r="L218" s="6" t="s">
        <v>20</v>
      </c>
      <c r="M218" s="48">
        <f>(F218+G218+H218)/[1]!Table23[[#This Row],[Impressions]]</f>
        <v>8.8814529230620012E-2</v>
      </c>
    </row>
    <row r="219" spans="1:13" ht="16.2" customHeight="1" thickBot="1" x14ac:dyDescent="0.35">
      <c r="A219" s="6" t="s">
        <v>254</v>
      </c>
      <c r="B219" s="6" t="s">
        <v>22</v>
      </c>
      <c r="C219" s="7">
        <v>45454</v>
      </c>
      <c r="D219" s="6" t="s">
        <v>27</v>
      </c>
      <c r="E219" s="6" t="s">
        <v>64</v>
      </c>
      <c r="F219" s="8">
        <v>14910</v>
      </c>
      <c r="G219" s="8">
        <v>778</v>
      </c>
      <c r="H219" s="8">
        <v>289</v>
      </c>
      <c r="I219" s="8">
        <v>2541</v>
      </c>
      <c r="J219" s="8">
        <v>14309</v>
      </c>
      <c r="K219" s="8">
        <v>247815</v>
      </c>
      <c r="L219" s="6" t="s">
        <v>25</v>
      </c>
      <c r="M219" s="48">
        <f>(F219+G219+H219)/[1]!Table23[[#This Row],[Impressions]]</f>
        <v>0.1341094901539443</v>
      </c>
    </row>
    <row r="220" spans="1:13" ht="16.2" customHeight="1" thickBot="1" x14ac:dyDescent="0.35">
      <c r="A220" s="6" t="s">
        <v>255</v>
      </c>
      <c r="B220" s="6" t="s">
        <v>18</v>
      </c>
      <c r="C220" s="7">
        <v>45685</v>
      </c>
      <c r="D220" s="6" t="s">
        <v>34</v>
      </c>
      <c r="E220" s="6" t="s">
        <v>35</v>
      </c>
      <c r="F220" s="8">
        <v>9943</v>
      </c>
      <c r="G220" s="8">
        <v>1274</v>
      </c>
      <c r="H220" s="8">
        <v>336</v>
      </c>
      <c r="I220" s="8">
        <v>389</v>
      </c>
      <c r="J220" s="8">
        <v>6145</v>
      </c>
      <c r="K220" s="8">
        <v>231305</v>
      </c>
      <c r="L220" s="6" t="s">
        <v>16</v>
      </c>
      <c r="M220" s="48">
        <f>(F220+G220+H220)/[1]!Table23[[#This Row],[Impressions]]</f>
        <v>5.9477046791904985E-2</v>
      </c>
    </row>
    <row r="221" spans="1:13" ht="16.2" customHeight="1" thickBot="1" x14ac:dyDescent="0.35">
      <c r="A221" s="6" t="s">
        <v>256</v>
      </c>
      <c r="B221" s="6" t="s">
        <v>13</v>
      </c>
      <c r="C221" s="7">
        <v>45445</v>
      </c>
      <c r="D221" s="6" t="s">
        <v>27</v>
      </c>
      <c r="E221" s="6" t="s">
        <v>19</v>
      </c>
      <c r="F221" s="8">
        <v>14199</v>
      </c>
      <c r="G221" s="8">
        <v>1206</v>
      </c>
      <c r="H221" s="8">
        <v>954</v>
      </c>
      <c r="I221" s="8">
        <v>2009</v>
      </c>
      <c r="J221" s="8">
        <v>8</v>
      </c>
      <c r="K221" s="8">
        <v>65537</v>
      </c>
      <c r="L221" s="6" t="s">
        <v>25</v>
      </c>
      <c r="M221" s="48">
        <f>(F221+G221+H221)/[1]!Table23[[#This Row],[Impressions]]</f>
        <v>8.2596600003029402E-2</v>
      </c>
    </row>
    <row r="222" spans="1:13" ht="16.2" customHeight="1" thickBot="1" x14ac:dyDescent="0.35">
      <c r="A222" s="6" t="s">
        <v>257</v>
      </c>
      <c r="B222" s="6" t="s">
        <v>13</v>
      </c>
      <c r="C222" s="7">
        <v>45739</v>
      </c>
      <c r="D222" s="6" t="s">
        <v>34</v>
      </c>
      <c r="E222" s="6" t="s">
        <v>35</v>
      </c>
      <c r="F222" s="8">
        <v>17728</v>
      </c>
      <c r="G222" s="8">
        <v>1487</v>
      </c>
      <c r="H222" s="8">
        <v>210</v>
      </c>
      <c r="I222" s="8">
        <v>2469</v>
      </c>
      <c r="J222" s="8">
        <v>30565</v>
      </c>
      <c r="K222" s="8">
        <v>117576</v>
      </c>
      <c r="L222" s="6" t="s">
        <v>16</v>
      </c>
      <c r="M222" s="48">
        <f>(F222+G222+H222)/[1]!Table23[[#This Row],[Impressions]]</f>
        <v>0.11273221094416491</v>
      </c>
    </row>
    <row r="223" spans="1:13" ht="16.2" customHeight="1" thickBot="1" x14ac:dyDescent="0.35">
      <c r="A223" s="6" t="s">
        <v>258</v>
      </c>
      <c r="B223" s="6" t="s">
        <v>13</v>
      </c>
      <c r="C223" s="7">
        <v>45573</v>
      </c>
      <c r="D223" s="6" t="s">
        <v>23</v>
      </c>
      <c r="E223" s="6" t="s">
        <v>64</v>
      </c>
      <c r="F223" s="8">
        <v>8738</v>
      </c>
      <c r="G223" s="8">
        <v>295</v>
      </c>
      <c r="H223" s="8">
        <v>529</v>
      </c>
      <c r="I223" s="8">
        <v>442</v>
      </c>
      <c r="J223" s="8">
        <v>25286</v>
      </c>
      <c r="K223" s="8">
        <v>147522</v>
      </c>
      <c r="L223" s="6" t="s">
        <v>29</v>
      </c>
      <c r="M223" s="48">
        <f>(F223+G223+H223)/[1]!Table23[[#This Row],[Impressions]]</f>
        <v>4.551122787979172E-2</v>
      </c>
    </row>
    <row r="224" spans="1:13" ht="16.2" customHeight="1" thickBot="1" x14ac:dyDescent="0.35">
      <c r="A224" s="6" t="s">
        <v>259</v>
      </c>
      <c r="B224" s="6" t="s">
        <v>40</v>
      </c>
      <c r="C224" s="7">
        <v>45608</v>
      </c>
      <c r="D224" s="6" t="s">
        <v>27</v>
      </c>
      <c r="E224" s="6" t="s">
        <v>24</v>
      </c>
      <c r="F224" s="8">
        <v>17913</v>
      </c>
      <c r="G224" s="8">
        <v>1311</v>
      </c>
      <c r="H224" s="8">
        <v>859</v>
      </c>
      <c r="I224" s="8">
        <v>405</v>
      </c>
      <c r="J224" s="8">
        <v>59842</v>
      </c>
      <c r="K224" s="8">
        <v>62612</v>
      </c>
      <c r="L224" s="6" t="s">
        <v>25</v>
      </c>
      <c r="M224" s="48">
        <f>(F224+G224+H224)/[1]!Table23[[#This Row],[Impressions]]</f>
        <v>0.13613562722848119</v>
      </c>
    </row>
    <row r="225" spans="1:13" ht="16.2" customHeight="1" thickBot="1" x14ac:dyDescent="0.35">
      <c r="A225" s="6" t="s">
        <v>260</v>
      </c>
      <c r="B225" s="6" t="s">
        <v>18</v>
      </c>
      <c r="C225" s="9">
        <v>45907</v>
      </c>
      <c r="D225" s="6" t="s">
        <v>23</v>
      </c>
      <c r="E225" s="6" t="s">
        <v>115</v>
      </c>
      <c r="F225" s="8">
        <v>4472</v>
      </c>
      <c r="G225" s="8">
        <v>1301</v>
      </c>
      <c r="H225" s="8">
        <v>956</v>
      </c>
      <c r="I225" s="8">
        <v>1186</v>
      </c>
      <c r="J225" s="8">
        <v>3363</v>
      </c>
      <c r="K225" s="8">
        <v>46471</v>
      </c>
      <c r="L225" s="6" t="s">
        <v>20</v>
      </c>
      <c r="M225" s="48">
        <f>(F225+G225+H225)/[1]!Table23[[#This Row],[Impressions]]</f>
        <v>5.3204190551492392E-2</v>
      </c>
    </row>
    <row r="226" spans="1:13" ht="16.2" customHeight="1" thickBot="1" x14ac:dyDescent="0.35">
      <c r="A226" s="6" t="s">
        <v>261</v>
      </c>
      <c r="B226" s="6" t="s">
        <v>40</v>
      </c>
      <c r="C226" s="7">
        <v>45463</v>
      </c>
      <c r="D226" s="6" t="s">
        <v>27</v>
      </c>
      <c r="E226" s="6" t="s">
        <v>37</v>
      </c>
      <c r="F226" s="8">
        <v>21123</v>
      </c>
      <c r="G226" s="8">
        <v>1343</v>
      </c>
      <c r="H226" s="8">
        <v>589</v>
      </c>
      <c r="I226" s="8">
        <v>727</v>
      </c>
      <c r="J226" s="8">
        <v>87833</v>
      </c>
      <c r="K226" s="8">
        <v>206703</v>
      </c>
      <c r="L226" s="6" t="s">
        <v>16</v>
      </c>
      <c r="M226" s="48">
        <f>(F226+G226+H226)/[1]!Table23[[#This Row],[Impressions]]</f>
        <v>9.3033109375945763E-2</v>
      </c>
    </row>
    <row r="227" spans="1:13" ht="16.2" customHeight="1" thickBot="1" x14ac:dyDescent="0.35">
      <c r="A227" s="6" t="s">
        <v>262</v>
      </c>
      <c r="B227" s="6" t="s">
        <v>40</v>
      </c>
      <c r="C227" s="9">
        <v>45908</v>
      </c>
      <c r="D227" s="6" t="s">
        <v>23</v>
      </c>
      <c r="E227" s="6" t="s">
        <v>37</v>
      </c>
      <c r="F227" s="8">
        <v>23785</v>
      </c>
      <c r="G227" s="8">
        <v>1013</v>
      </c>
      <c r="H227" s="8">
        <v>468</v>
      </c>
      <c r="I227" s="8">
        <v>1628</v>
      </c>
      <c r="J227" s="8">
        <v>8272</v>
      </c>
      <c r="K227" s="8">
        <v>71348</v>
      </c>
      <c r="L227" s="6" t="s">
        <v>20</v>
      </c>
      <c r="M227" s="48">
        <f>(F227+G227+H227)/[1]!Table23[[#This Row],[Impressions]]</f>
        <v>0.16793842390726363</v>
      </c>
    </row>
    <row r="228" spans="1:13" ht="16.2" customHeight="1" thickBot="1" x14ac:dyDescent="0.35">
      <c r="A228" s="6" t="s">
        <v>263</v>
      </c>
      <c r="B228" s="6" t="s">
        <v>22</v>
      </c>
      <c r="C228" s="7">
        <v>45455</v>
      </c>
      <c r="D228" s="6" t="s">
        <v>23</v>
      </c>
      <c r="E228" s="6" t="s">
        <v>19</v>
      </c>
      <c r="F228" s="8">
        <v>17679</v>
      </c>
      <c r="G228" s="8">
        <v>690</v>
      </c>
      <c r="H228" s="8">
        <v>451</v>
      </c>
      <c r="I228" s="8">
        <v>2195</v>
      </c>
      <c r="J228" s="8">
        <v>4390</v>
      </c>
      <c r="K228" s="8">
        <v>235804</v>
      </c>
      <c r="L228" s="6" t="s">
        <v>45</v>
      </c>
      <c r="M228" s="48">
        <f>(F228+G228+H228)/[1]!Table23[[#This Row],[Impressions]]</f>
        <v>0.13078890309668093</v>
      </c>
    </row>
    <row r="229" spans="1:13" ht="16.2" customHeight="1" thickBot="1" x14ac:dyDescent="0.35">
      <c r="A229" s="6" t="s">
        <v>264</v>
      </c>
      <c r="B229" s="6" t="s">
        <v>40</v>
      </c>
      <c r="C229" s="7">
        <v>45474</v>
      </c>
      <c r="D229" s="6" t="s">
        <v>27</v>
      </c>
      <c r="E229" s="6" t="s">
        <v>24</v>
      </c>
      <c r="F229" s="8">
        <v>3761</v>
      </c>
      <c r="G229" s="8">
        <v>651</v>
      </c>
      <c r="H229" s="8">
        <v>493</v>
      </c>
      <c r="I229" s="8">
        <v>2294</v>
      </c>
      <c r="J229" s="8">
        <v>71696</v>
      </c>
      <c r="K229" s="8">
        <v>41177</v>
      </c>
      <c r="L229" s="6" t="s">
        <v>16</v>
      </c>
      <c r="M229" s="48">
        <f>(F229+G229+H229)/[1]!Table23[[#This Row],[Impressions]]</f>
        <v>2.165744587846221E-2</v>
      </c>
    </row>
    <row r="230" spans="1:13" ht="16.2" customHeight="1" thickBot="1" x14ac:dyDescent="0.35">
      <c r="A230" s="6" t="s">
        <v>265</v>
      </c>
      <c r="B230" s="6" t="s">
        <v>22</v>
      </c>
      <c r="C230" s="7">
        <v>45476</v>
      </c>
      <c r="D230" s="6" t="s">
        <v>27</v>
      </c>
      <c r="E230" s="6" t="s">
        <v>19</v>
      </c>
      <c r="F230" s="8">
        <v>12167</v>
      </c>
      <c r="G230" s="8">
        <v>364</v>
      </c>
      <c r="H230" s="8">
        <v>160</v>
      </c>
      <c r="I230" s="8">
        <v>616</v>
      </c>
      <c r="J230" s="8">
        <v>42228</v>
      </c>
      <c r="K230" s="8">
        <v>175832</v>
      </c>
      <c r="L230" s="6" t="s">
        <v>25</v>
      </c>
      <c r="M230" s="48">
        <f>(F230+G230+H230)/[1]!Table23[[#This Row],[Impressions]]</f>
        <v>8.5766805657865389E-2</v>
      </c>
    </row>
    <row r="231" spans="1:13" ht="16.2" customHeight="1" thickBot="1" x14ac:dyDescent="0.35">
      <c r="A231" s="6" t="s">
        <v>266</v>
      </c>
      <c r="B231" s="6" t="s">
        <v>22</v>
      </c>
      <c r="C231" s="7">
        <v>45488</v>
      </c>
      <c r="D231" s="6" t="s">
        <v>27</v>
      </c>
      <c r="E231" s="6" t="s">
        <v>32</v>
      </c>
      <c r="F231" s="8">
        <v>12554</v>
      </c>
      <c r="G231" s="8">
        <v>381</v>
      </c>
      <c r="H231" s="8">
        <v>211</v>
      </c>
      <c r="I231" s="8">
        <v>2286</v>
      </c>
      <c r="J231" s="8">
        <v>50567</v>
      </c>
      <c r="K231" s="8">
        <v>72779</v>
      </c>
      <c r="L231" s="6" t="s">
        <v>16</v>
      </c>
      <c r="M231" s="48">
        <f>(F231+G231+H231)/[1]!Table23[[#This Row],[Impressions]]</f>
        <v>8.3790657207870434E-2</v>
      </c>
    </row>
    <row r="232" spans="1:13" ht="16.2" customHeight="1" thickBot="1" x14ac:dyDescent="0.35">
      <c r="A232" s="6" t="s">
        <v>267</v>
      </c>
      <c r="B232" s="6" t="s">
        <v>40</v>
      </c>
      <c r="C232" s="9">
        <v>45909</v>
      </c>
      <c r="D232" s="6" t="s">
        <v>14</v>
      </c>
      <c r="E232" s="6" t="s">
        <v>35</v>
      </c>
      <c r="F232" s="8">
        <v>19260</v>
      </c>
      <c r="G232" s="8">
        <v>668</v>
      </c>
      <c r="H232" s="8">
        <v>994</v>
      </c>
      <c r="I232" s="8">
        <v>934</v>
      </c>
      <c r="J232" s="8">
        <v>20509</v>
      </c>
      <c r="K232" s="8">
        <v>61636</v>
      </c>
      <c r="L232" s="6" t="s">
        <v>20</v>
      </c>
      <c r="M232" s="48">
        <f>(F232+G232+H232)/[1]!Table23[[#This Row],[Impressions]]</f>
        <v>9.7814348161481102E-2</v>
      </c>
    </row>
    <row r="233" spans="1:13" ht="16.2" customHeight="1" thickBot="1" x14ac:dyDescent="0.35">
      <c r="A233" s="6" t="s">
        <v>268</v>
      </c>
      <c r="B233" s="6" t="s">
        <v>18</v>
      </c>
      <c r="C233" s="7">
        <v>45776</v>
      </c>
      <c r="D233" s="6" t="s">
        <v>34</v>
      </c>
      <c r="E233" s="6" t="s">
        <v>37</v>
      </c>
      <c r="F233" s="8">
        <v>16277</v>
      </c>
      <c r="G233" s="8">
        <v>1109</v>
      </c>
      <c r="H233" s="8">
        <v>375</v>
      </c>
      <c r="I233" s="8">
        <v>2225</v>
      </c>
      <c r="J233" s="8">
        <v>1044</v>
      </c>
      <c r="K233" s="8">
        <v>121889</v>
      </c>
      <c r="L233" s="6" t="s">
        <v>29</v>
      </c>
      <c r="M233" s="48">
        <f>(F233+G233+H233)/[1]!Table23[[#This Row],[Impressions]]</f>
        <v>8.7890064429291079E-2</v>
      </c>
    </row>
    <row r="234" spans="1:13" ht="16.2" customHeight="1" thickBot="1" x14ac:dyDescent="0.35">
      <c r="A234" s="6" t="s">
        <v>269</v>
      </c>
      <c r="B234" s="6" t="s">
        <v>18</v>
      </c>
      <c r="C234" s="7">
        <v>45724</v>
      </c>
      <c r="D234" s="6" t="s">
        <v>14</v>
      </c>
      <c r="E234" s="6" t="s">
        <v>15</v>
      </c>
      <c r="F234" s="8">
        <v>5812</v>
      </c>
      <c r="G234" s="8">
        <v>934</v>
      </c>
      <c r="H234" s="8">
        <v>302</v>
      </c>
      <c r="I234" s="8">
        <v>2356</v>
      </c>
      <c r="J234" s="8">
        <v>37437</v>
      </c>
      <c r="K234" s="8">
        <v>93551</v>
      </c>
      <c r="L234" s="6" t="s">
        <v>16</v>
      </c>
      <c r="M234" s="48">
        <f>(F234+G234+H234)/[1]!Table23[[#This Row],[Impressions]]</f>
        <v>0.14645194805194806</v>
      </c>
    </row>
    <row r="235" spans="1:13" ht="16.2" customHeight="1" thickBot="1" x14ac:dyDescent="0.35">
      <c r="A235" s="6" t="s">
        <v>270</v>
      </c>
      <c r="B235" s="6" t="s">
        <v>18</v>
      </c>
      <c r="C235" s="7">
        <v>45444</v>
      </c>
      <c r="D235" s="6" t="s">
        <v>14</v>
      </c>
      <c r="E235" s="6" t="s">
        <v>35</v>
      </c>
      <c r="F235" s="8">
        <v>19844</v>
      </c>
      <c r="G235" s="8">
        <v>1022</v>
      </c>
      <c r="H235" s="8">
        <v>860</v>
      </c>
      <c r="I235" s="8">
        <v>2570</v>
      </c>
      <c r="J235" s="8">
        <v>23719</v>
      </c>
      <c r="K235" s="8">
        <v>182628</v>
      </c>
      <c r="L235" s="6" t="s">
        <v>25</v>
      </c>
      <c r="M235" s="48">
        <f>(F235+G235+H235)/[1]!Table23[[#This Row],[Impressions]]</f>
        <v>0.16418790242132947</v>
      </c>
    </row>
    <row r="236" spans="1:13" ht="16.2" customHeight="1" thickBot="1" x14ac:dyDescent="0.35">
      <c r="A236" s="6" t="s">
        <v>271</v>
      </c>
      <c r="B236" s="6" t="s">
        <v>18</v>
      </c>
      <c r="C236" s="7">
        <v>45648</v>
      </c>
      <c r="D236" s="6" t="s">
        <v>23</v>
      </c>
      <c r="E236" s="6" t="s">
        <v>28</v>
      </c>
      <c r="F236" s="8">
        <v>20117</v>
      </c>
      <c r="G236" s="8">
        <v>1143</v>
      </c>
      <c r="H236" s="8">
        <v>713</v>
      </c>
      <c r="I236" s="8">
        <v>1739</v>
      </c>
      <c r="J236" s="8">
        <v>34444</v>
      </c>
      <c r="K236" s="8">
        <v>198670</v>
      </c>
      <c r="L236" s="6" t="s">
        <v>45</v>
      </c>
      <c r="M236" s="48">
        <f>(F236+G236+H236)/[1]!Table23[[#This Row],[Impressions]]</f>
        <v>0.13251275494819623</v>
      </c>
    </row>
    <row r="237" spans="1:13" ht="16.2" customHeight="1" thickBot="1" x14ac:dyDescent="0.35">
      <c r="A237" s="6" t="s">
        <v>272</v>
      </c>
      <c r="B237" s="6" t="s">
        <v>18</v>
      </c>
      <c r="C237" s="7">
        <v>45523</v>
      </c>
      <c r="D237" s="6" t="s">
        <v>27</v>
      </c>
      <c r="E237" s="6" t="s">
        <v>55</v>
      </c>
      <c r="F237" s="8">
        <v>3605</v>
      </c>
      <c r="G237" s="8">
        <v>206</v>
      </c>
      <c r="H237" s="8">
        <v>921</v>
      </c>
      <c r="I237" s="8">
        <v>852</v>
      </c>
      <c r="J237" s="8">
        <v>11660</v>
      </c>
      <c r="K237" s="8">
        <v>182635</v>
      </c>
      <c r="L237" s="6" t="s">
        <v>29</v>
      </c>
      <c r="M237" s="48">
        <f>(F237+G237+H237)/[1]!Table23[[#This Row],[Impressions]]</f>
        <v>5.7546607644504977E-2</v>
      </c>
    </row>
    <row r="238" spans="1:13" ht="16.2" customHeight="1" thickBot="1" x14ac:dyDescent="0.35">
      <c r="A238" s="6" t="s">
        <v>273</v>
      </c>
      <c r="B238" s="6" t="s">
        <v>40</v>
      </c>
      <c r="C238" s="7">
        <v>45587</v>
      </c>
      <c r="D238" s="6" t="s">
        <v>34</v>
      </c>
      <c r="E238" s="6" t="s">
        <v>24</v>
      </c>
      <c r="F238" s="8">
        <v>7622</v>
      </c>
      <c r="G238" s="8">
        <v>529</v>
      </c>
      <c r="H238" s="8">
        <v>720</v>
      </c>
      <c r="I238" s="8">
        <v>1015</v>
      </c>
      <c r="J238" s="8">
        <v>71322</v>
      </c>
      <c r="K238" s="8">
        <v>86819</v>
      </c>
      <c r="L238" s="6" t="s">
        <v>45</v>
      </c>
      <c r="M238" s="48">
        <f>(F238+G238+H238)/[1]!Table23[[#This Row],[Impressions]]</f>
        <v>0.15101373780705787</v>
      </c>
    </row>
    <row r="239" spans="1:13" ht="16.2" customHeight="1" thickBot="1" x14ac:dyDescent="0.35">
      <c r="A239" s="6" t="s">
        <v>274</v>
      </c>
      <c r="B239" s="6" t="s">
        <v>40</v>
      </c>
      <c r="C239" s="7">
        <v>45489</v>
      </c>
      <c r="D239" s="6" t="s">
        <v>23</v>
      </c>
      <c r="E239" s="6" t="s">
        <v>41</v>
      </c>
      <c r="F239" s="8">
        <v>8767</v>
      </c>
      <c r="G239" s="8">
        <v>974</v>
      </c>
      <c r="H239" s="8">
        <v>733</v>
      </c>
      <c r="I239" s="8">
        <v>1587</v>
      </c>
      <c r="J239" s="8">
        <v>74927</v>
      </c>
      <c r="K239" s="8">
        <v>113770</v>
      </c>
      <c r="L239" s="6" t="s">
        <v>16</v>
      </c>
      <c r="M239" s="48">
        <f>(F239+G239+H239)/[1]!Table23[[#This Row],[Impressions]]</f>
        <v>0.15652459800346705</v>
      </c>
    </row>
    <row r="240" spans="1:13" ht="16.2" customHeight="1" thickBot="1" x14ac:dyDescent="0.35">
      <c r="A240" s="6" t="s">
        <v>275</v>
      </c>
      <c r="B240" s="6" t="s">
        <v>13</v>
      </c>
      <c r="C240" s="9">
        <v>45910</v>
      </c>
      <c r="D240" s="6" t="s">
        <v>14</v>
      </c>
      <c r="E240" s="6" t="s">
        <v>19</v>
      </c>
      <c r="F240" s="8">
        <v>13613</v>
      </c>
      <c r="G240" s="8">
        <v>350</v>
      </c>
      <c r="H240" s="8">
        <v>809</v>
      </c>
      <c r="I240" s="8">
        <v>2013</v>
      </c>
      <c r="J240" s="8">
        <v>20471</v>
      </c>
      <c r="K240" s="8">
        <v>198038</v>
      </c>
      <c r="L240" s="6" t="s">
        <v>20</v>
      </c>
      <c r="M240" s="48">
        <f>(F240+G240+H240)/[1]!Table23[[#This Row],[Impressions]]</f>
        <v>0.17637577161415113</v>
      </c>
    </row>
    <row r="241" spans="1:13" ht="16.2" customHeight="1" thickBot="1" x14ac:dyDescent="0.35">
      <c r="A241" s="6" t="s">
        <v>276</v>
      </c>
      <c r="B241" s="6" t="s">
        <v>18</v>
      </c>
      <c r="C241" s="9">
        <v>45911</v>
      </c>
      <c r="D241" s="6" t="s">
        <v>27</v>
      </c>
      <c r="E241" s="6" t="s">
        <v>35</v>
      </c>
      <c r="F241" s="8">
        <v>21901</v>
      </c>
      <c r="G241" s="8">
        <v>1308</v>
      </c>
      <c r="H241" s="8">
        <v>724</v>
      </c>
      <c r="I241" s="8">
        <v>2183</v>
      </c>
      <c r="J241" s="8">
        <v>15996</v>
      </c>
      <c r="K241" s="8">
        <v>230961</v>
      </c>
      <c r="L241" s="6" t="s">
        <v>20</v>
      </c>
      <c r="M241" s="48">
        <f>(F241+G241+H241)/[1]!Table23[[#This Row],[Impressions]]</f>
        <v>0.10092648429362425</v>
      </c>
    </row>
    <row r="242" spans="1:13" ht="16.2" customHeight="1" thickBot="1" x14ac:dyDescent="0.35">
      <c r="A242" s="6" t="s">
        <v>277</v>
      </c>
      <c r="B242" s="6" t="s">
        <v>40</v>
      </c>
      <c r="C242" s="7">
        <v>45675</v>
      </c>
      <c r="D242" s="6" t="s">
        <v>23</v>
      </c>
      <c r="E242" s="6" t="s">
        <v>55</v>
      </c>
      <c r="F242" s="8">
        <v>12589</v>
      </c>
      <c r="G242" s="8">
        <v>346</v>
      </c>
      <c r="H242" s="8">
        <v>459</v>
      </c>
      <c r="I242" s="8">
        <v>1407</v>
      </c>
      <c r="J242" s="8">
        <v>29254</v>
      </c>
      <c r="K242" s="8">
        <v>198059</v>
      </c>
      <c r="L242" s="6" t="s">
        <v>25</v>
      </c>
      <c r="M242" s="48">
        <f>(F242+G242+H242)/[1]!Table23[[#This Row],[Impressions]]</f>
        <v>0.10212344172925165</v>
      </c>
    </row>
    <row r="243" spans="1:13" ht="16.2" customHeight="1" thickBot="1" x14ac:dyDescent="0.35">
      <c r="A243" s="6" t="s">
        <v>278</v>
      </c>
      <c r="B243" s="6" t="s">
        <v>13</v>
      </c>
      <c r="C243" s="9">
        <v>45912</v>
      </c>
      <c r="D243" s="6" t="s">
        <v>27</v>
      </c>
      <c r="E243" s="6" t="s">
        <v>35</v>
      </c>
      <c r="F243" s="8">
        <v>15918</v>
      </c>
      <c r="G243" s="8">
        <v>1114</v>
      </c>
      <c r="H243" s="8">
        <v>392</v>
      </c>
      <c r="I243" s="8">
        <v>1641</v>
      </c>
      <c r="J243" s="8">
        <v>28044</v>
      </c>
      <c r="K243" s="8">
        <v>118714</v>
      </c>
      <c r="L243" s="6" t="s">
        <v>20</v>
      </c>
      <c r="M243" s="48">
        <f>(F243+G243+H243)/[1]!Table23[[#This Row],[Impressions]]</f>
        <v>7.3102580239144122E-2</v>
      </c>
    </row>
    <row r="244" spans="1:13" ht="16.2" customHeight="1" thickBot="1" x14ac:dyDescent="0.35">
      <c r="A244" s="6" t="s">
        <v>279</v>
      </c>
      <c r="B244" s="6" t="s">
        <v>18</v>
      </c>
      <c r="C244" s="7">
        <v>45722</v>
      </c>
      <c r="D244" s="6" t="s">
        <v>23</v>
      </c>
      <c r="E244" s="6" t="s">
        <v>41</v>
      </c>
      <c r="F244" s="8">
        <v>22119</v>
      </c>
      <c r="G244" s="8">
        <v>899</v>
      </c>
      <c r="H244" s="8">
        <v>642</v>
      </c>
      <c r="I244" s="8">
        <v>410</v>
      </c>
      <c r="J244" s="8">
        <v>49490</v>
      </c>
      <c r="K244" s="8">
        <v>229420</v>
      </c>
      <c r="L244" s="6" t="s">
        <v>29</v>
      </c>
      <c r="M244" s="48">
        <f>(F244+G244+H244)/[1]!Table23[[#This Row],[Impressions]]</f>
        <v>0.23362824867683071</v>
      </c>
    </row>
    <row r="245" spans="1:13" ht="16.2" customHeight="1" thickBot="1" x14ac:dyDescent="0.35">
      <c r="A245" s="6" t="s">
        <v>280</v>
      </c>
      <c r="B245" s="6" t="s">
        <v>22</v>
      </c>
      <c r="C245" s="9">
        <v>45913</v>
      </c>
      <c r="D245" s="6" t="s">
        <v>27</v>
      </c>
      <c r="E245" s="6" t="s">
        <v>55</v>
      </c>
      <c r="F245" s="8">
        <v>15046</v>
      </c>
      <c r="G245" s="8">
        <v>281</v>
      </c>
      <c r="H245" s="8">
        <v>515</v>
      </c>
      <c r="I245" s="8">
        <v>550</v>
      </c>
      <c r="J245" s="8">
        <v>22583</v>
      </c>
      <c r="K245" s="8">
        <v>64596</v>
      </c>
      <c r="L245" s="6" t="s">
        <v>20</v>
      </c>
      <c r="M245" s="48">
        <f>(F245+G245+H245)/[1]!Table23[[#This Row],[Impressions]]</f>
        <v>0.12685981517961531</v>
      </c>
    </row>
    <row r="246" spans="1:13" ht="16.2" customHeight="1" thickBot="1" x14ac:dyDescent="0.35">
      <c r="A246" s="6" t="s">
        <v>281</v>
      </c>
      <c r="B246" s="6" t="s">
        <v>13</v>
      </c>
      <c r="C246" s="7">
        <v>45669</v>
      </c>
      <c r="D246" s="6" t="s">
        <v>14</v>
      </c>
      <c r="E246" s="6" t="s">
        <v>28</v>
      </c>
      <c r="F246" s="8">
        <v>4590</v>
      </c>
      <c r="G246" s="8">
        <v>713</v>
      </c>
      <c r="H246" s="8">
        <v>479</v>
      </c>
      <c r="I246" s="8">
        <v>2730</v>
      </c>
      <c r="J246" s="8">
        <v>41050</v>
      </c>
      <c r="K246" s="8">
        <v>204246</v>
      </c>
      <c r="L246" s="6" t="s">
        <v>25</v>
      </c>
      <c r="M246" s="48">
        <f>(F246+G246+H246)/[1]!Table23[[#This Row],[Impressions]]</f>
        <v>2.8985943171108305E-2</v>
      </c>
    </row>
    <row r="247" spans="1:13" ht="16.2" customHeight="1" thickBot="1" x14ac:dyDescent="0.35">
      <c r="A247" s="6" t="s">
        <v>282</v>
      </c>
      <c r="B247" s="6" t="s">
        <v>40</v>
      </c>
      <c r="C247" s="7">
        <v>45576</v>
      </c>
      <c r="D247" s="6" t="s">
        <v>34</v>
      </c>
      <c r="E247" s="6" t="s">
        <v>41</v>
      </c>
      <c r="F247" s="8">
        <v>19447</v>
      </c>
      <c r="G247" s="8">
        <v>1014</v>
      </c>
      <c r="H247" s="8">
        <v>256</v>
      </c>
      <c r="I247" s="8">
        <v>2354</v>
      </c>
      <c r="J247" s="8">
        <v>5472</v>
      </c>
      <c r="K247" s="8">
        <v>104106</v>
      </c>
      <c r="L247" s="6" t="s">
        <v>16</v>
      </c>
      <c r="M247" s="48">
        <f>(F247+G247+H247)/[1]!Table23[[#This Row],[Impressions]]</f>
        <v>9.7120649564956502E-2</v>
      </c>
    </row>
    <row r="248" spans="1:13" ht="16.2" customHeight="1" thickBot="1" x14ac:dyDescent="0.35">
      <c r="A248" s="6" t="s">
        <v>283</v>
      </c>
      <c r="B248" s="6" t="s">
        <v>22</v>
      </c>
      <c r="C248" s="7">
        <v>45531</v>
      </c>
      <c r="D248" s="6" t="s">
        <v>14</v>
      </c>
      <c r="E248" s="6" t="s">
        <v>64</v>
      </c>
      <c r="F248" s="8">
        <v>6324</v>
      </c>
      <c r="G248" s="8">
        <v>908</v>
      </c>
      <c r="H248" s="8">
        <v>375</v>
      </c>
      <c r="I248" s="8">
        <v>758</v>
      </c>
      <c r="J248" s="8">
        <v>34850</v>
      </c>
      <c r="K248" s="8">
        <v>241039</v>
      </c>
      <c r="L248" s="6" t="s">
        <v>16</v>
      </c>
      <c r="M248" s="48">
        <f>(F248+G248+H248)/[1]!Table23[[#This Row],[Impressions]]</f>
        <v>4.2805694671093353E-2</v>
      </c>
    </row>
    <row r="249" spans="1:13" ht="16.2" customHeight="1" thickBot="1" x14ac:dyDescent="0.35">
      <c r="A249" s="6" t="s">
        <v>284</v>
      </c>
      <c r="B249" s="6" t="s">
        <v>22</v>
      </c>
      <c r="C249" s="9">
        <v>45914</v>
      </c>
      <c r="D249" s="6" t="s">
        <v>34</v>
      </c>
      <c r="E249" s="6" t="s">
        <v>50</v>
      </c>
      <c r="F249" s="8">
        <v>12787</v>
      </c>
      <c r="G249" s="8">
        <v>945</v>
      </c>
      <c r="H249" s="8">
        <v>974</v>
      </c>
      <c r="I249" s="8">
        <v>1407</v>
      </c>
      <c r="J249" s="8">
        <v>4037</v>
      </c>
      <c r="K249" s="8">
        <v>99182</v>
      </c>
      <c r="L249" s="6" t="s">
        <v>20</v>
      </c>
      <c r="M249" s="48">
        <f>(F249+G249+H249)/[1]!Table23[[#This Row],[Impressions]]</f>
        <v>7.5152159359780868E-2</v>
      </c>
    </row>
    <row r="250" spans="1:13" ht="16.2" customHeight="1" thickBot="1" x14ac:dyDescent="0.35">
      <c r="A250" s="6" t="s">
        <v>285</v>
      </c>
      <c r="B250" s="6" t="s">
        <v>22</v>
      </c>
      <c r="C250" s="7">
        <v>45491</v>
      </c>
      <c r="D250" s="6" t="s">
        <v>27</v>
      </c>
      <c r="E250" s="6" t="s">
        <v>64</v>
      </c>
      <c r="F250" s="8">
        <v>11111</v>
      </c>
      <c r="G250" s="8">
        <v>1222</v>
      </c>
      <c r="H250" s="8">
        <v>367</v>
      </c>
      <c r="I250" s="8">
        <v>507</v>
      </c>
      <c r="J250" s="8">
        <v>14129</v>
      </c>
      <c r="K250" s="8">
        <v>127163</v>
      </c>
      <c r="L250" s="6" t="s">
        <v>45</v>
      </c>
      <c r="M250" s="48">
        <f>(F250+G250+H250)/[1]!Table23[[#This Row],[Impressions]]</f>
        <v>7.6072958159873014E-2</v>
      </c>
    </row>
    <row r="251" spans="1:13" ht="16.2" customHeight="1" thickBot="1" x14ac:dyDescent="0.35">
      <c r="A251" s="6" t="s">
        <v>286</v>
      </c>
      <c r="B251" s="6" t="s">
        <v>13</v>
      </c>
      <c r="C251" s="7">
        <v>45465</v>
      </c>
      <c r="D251" s="6" t="s">
        <v>23</v>
      </c>
      <c r="E251" s="6" t="s">
        <v>37</v>
      </c>
      <c r="F251" s="8">
        <v>7342</v>
      </c>
      <c r="G251" s="8">
        <v>906</v>
      </c>
      <c r="H251" s="8">
        <v>902</v>
      </c>
      <c r="I251" s="8">
        <v>1199</v>
      </c>
      <c r="J251" s="8">
        <v>68488</v>
      </c>
      <c r="K251" s="8">
        <v>79310</v>
      </c>
      <c r="L251" s="6" t="s">
        <v>16</v>
      </c>
      <c r="M251" s="48">
        <f>(F251+G251+H251)/[1]!Table23[[#This Row],[Impressions]]</f>
        <v>5.3062242300175713E-2</v>
      </c>
    </row>
    <row r="252" spans="1:13" ht="16.2" customHeight="1" thickBot="1" x14ac:dyDescent="0.35">
      <c r="A252" s="6" t="s">
        <v>287</v>
      </c>
      <c r="B252" s="6" t="s">
        <v>40</v>
      </c>
      <c r="C252" s="9">
        <v>45915</v>
      </c>
      <c r="D252" s="6" t="s">
        <v>14</v>
      </c>
      <c r="E252" s="6" t="s">
        <v>35</v>
      </c>
      <c r="F252" s="8">
        <v>18389</v>
      </c>
      <c r="G252" s="8">
        <v>670</v>
      </c>
      <c r="H252" s="8">
        <v>655</v>
      </c>
      <c r="I252" s="8">
        <v>321</v>
      </c>
      <c r="J252" s="8">
        <v>21869</v>
      </c>
      <c r="K252" s="8">
        <v>96088</v>
      </c>
      <c r="L252" s="6" t="s">
        <v>20</v>
      </c>
      <c r="M252" s="48">
        <f>(F252+G252+H252)/[1]!Table23[[#This Row],[Impressions]]</f>
        <v>8.2979762265548707E-2</v>
      </c>
    </row>
    <row r="253" spans="1:13" ht="16.2" customHeight="1" thickBot="1" x14ac:dyDescent="0.35">
      <c r="A253" s="6" t="s">
        <v>288</v>
      </c>
      <c r="B253" s="6" t="s">
        <v>22</v>
      </c>
      <c r="C253" s="7">
        <v>45775</v>
      </c>
      <c r="D253" s="6" t="s">
        <v>34</v>
      </c>
      <c r="E253" s="6" t="s">
        <v>50</v>
      </c>
      <c r="F253" s="8">
        <v>10659</v>
      </c>
      <c r="G253" s="8">
        <v>1342</v>
      </c>
      <c r="H253" s="8">
        <v>408</v>
      </c>
      <c r="I253" s="8">
        <v>709</v>
      </c>
      <c r="J253" s="8">
        <v>16309</v>
      </c>
      <c r="K253" s="8">
        <v>168803</v>
      </c>
      <c r="L253" s="6" t="s">
        <v>25</v>
      </c>
      <c r="M253" s="48">
        <f>(F253+G253+H253)/[1]!Table23[[#This Row],[Impressions]]</f>
        <v>5.6346917924849589E-2</v>
      </c>
    </row>
    <row r="254" spans="1:13" ht="16.2" customHeight="1" thickBot="1" x14ac:dyDescent="0.35">
      <c r="A254" s="6" t="s">
        <v>289</v>
      </c>
      <c r="B254" s="6" t="s">
        <v>18</v>
      </c>
      <c r="C254" s="9">
        <v>45916</v>
      </c>
      <c r="D254" s="6" t="s">
        <v>14</v>
      </c>
      <c r="E254" s="6" t="s">
        <v>64</v>
      </c>
      <c r="F254" s="8">
        <v>16043</v>
      </c>
      <c r="G254" s="8">
        <v>595</v>
      </c>
      <c r="H254" s="8">
        <v>923</v>
      </c>
      <c r="I254" s="8">
        <v>1194</v>
      </c>
      <c r="J254" s="8">
        <v>52613</v>
      </c>
      <c r="K254" s="8">
        <v>179978</v>
      </c>
      <c r="L254" s="6" t="s">
        <v>20</v>
      </c>
      <c r="M254" s="48">
        <f>(F254+G254+H254)/[1]!Table23[[#This Row],[Impressions]]</f>
        <v>0.25294558234667125</v>
      </c>
    </row>
    <row r="255" spans="1:13" ht="16.2" customHeight="1" thickBot="1" x14ac:dyDescent="0.35">
      <c r="A255" s="6" t="s">
        <v>290</v>
      </c>
      <c r="B255" s="6" t="s">
        <v>22</v>
      </c>
      <c r="C255" s="7">
        <v>45671</v>
      </c>
      <c r="D255" s="6" t="s">
        <v>34</v>
      </c>
      <c r="E255" s="6" t="s">
        <v>50</v>
      </c>
      <c r="F255" s="8">
        <v>24350</v>
      </c>
      <c r="G255" s="8">
        <v>460</v>
      </c>
      <c r="H255" s="8">
        <v>666</v>
      </c>
      <c r="I255" s="8">
        <v>814</v>
      </c>
      <c r="J255" s="8">
        <v>21120</v>
      </c>
      <c r="K255" s="8">
        <v>76914</v>
      </c>
      <c r="L255" s="6" t="s">
        <v>16</v>
      </c>
      <c r="M255" s="48">
        <f>(F255+G255+H255)/[1]!Table23[[#This Row],[Impressions]]</f>
        <v>0.13805211906426285</v>
      </c>
    </row>
    <row r="256" spans="1:13" ht="16.2" customHeight="1" thickBot="1" x14ac:dyDescent="0.35">
      <c r="A256" s="6" t="s">
        <v>291</v>
      </c>
      <c r="B256" s="6" t="s">
        <v>22</v>
      </c>
      <c r="C256" s="7">
        <v>45750</v>
      </c>
      <c r="D256" s="6" t="s">
        <v>14</v>
      </c>
      <c r="E256" s="6" t="s">
        <v>115</v>
      </c>
      <c r="F256" s="8">
        <v>10837</v>
      </c>
      <c r="G256" s="8">
        <v>1004</v>
      </c>
      <c r="H256" s="8">
        <v>922</v>
      </c>
      <c r="I256" s="8">
        <v>1108</v>
      </c>
      <c r="J256" s="8">
        <v>36807</v>
      </c>
      <c r="K256" s="8">
        <v>150350</v>
      </c>
      <c r="L256" s="6" t="s">
        <v>25</v>
      </c>
      <c r="M256" s="48">
        <f>(F256+G256+H256)/[1]!Table23[[#This Row],[Impressions]]</f>
        <v>7.7503233602749619E-2</v>
      </c>
    </row>
    <row r="257" spans="1:13" ht="16.2" customHeight="1" thickBot="1" x14ac:dyDescent="0.35">
      <c r="A257" s="6" t="s">
        <v>292</v>
      </c>
      <c r="B257" s="6" t="s">
        <v>13</v>
      </c>
      <c r="C257" s="9">
        <v>45917</v>
      </c>
      <c r="D257" s="6" t="s">
        <v>34</v>
      </c>
      <c r="E257" s="6" t="s">
        <v>35</v>
      </c>
      <c r="F257" s="8">
        <v>2117</v>
      </c>
      <c r="G257" s="8">
        <v>1133</v>
      </c>
      <c r="H257" s="8">
        <v>203</v>
      </c>
      <c r="I257" s="8">
        <v>1173</v>
      </c>
      <c r="J257" s="8">
        <v>40125</v>
      </c>
      <c r="K257" s="8">
        <v>85379</v>
      </c>
      <c r="L257" s="6" t="s">
        <v>20</v>
      </c>
      <c r="M257" s="48">
        <f>(F257+G257+H257)/[1]!Table23[[#This Row],[Impressions]]</f>
        <v>4.7209537611768888E-2</v>
      </c>
    </row>
    <row r="258" spans="1:13" ht="16.2" customHeight="1" thickBot="1" x14ac:dyDescent="0.35">
      <c r="A258" s="6" t="s">
        <v>293</v>
      </c>
      <c r="B258" s="6" t="s">
        <v>13</v>
      </c>
      <c r="C258" s="7">
        <v>45753</v>
      </c>
      <c r="D258" s="6" t="s">
        <v>34</v>
      </c>
      <c r="E258" s="6" t="s">
        <v>50</v>
      </c>
      <c r="F258" s="8">
        <v>15917</v>
      </c>
      <c r="G258" s="8">
        <v>1479</v>
      </c>
      <c r="H258" s="8">
        <v>196</v>
      </c>
      <c r="I258" s="8">
        <v>313</v>
      </c>
      <c r="J258" s="8">
        <v>48524</v>
      </c>
      <c r="K258" s="8">
        <v>249684</v>
      </c>
      <c r="L258" s="6" t="s">
        <v>29</v>
      </c>
      <c r="M258" s="48">
        <f>(F258+G258+H258)/[1]!Table23[[#This Row],[Impressions]]</f>
        <v>8.8597012520018933E-2</v>
      </c>
    </row>
    <row r="259" spans="1:13" ht="16.2" customHeight="1" thickBot="1" x14ac:dyDescent="0.35">
      <c r="A259" s="6" t="s">
        <v>294</v>
      </c>
      <c r="B259" s="6" t="s">
        <v>40</v>
      </c>
      <c r="C259" s="7">
        <v>45509</v>
      </c>
      <c r="D259" s="6" t="s">
        <v>27</v>
      </c>
      <c r="E259" s="6" t="s">
        <v>15</v>
      </c>
      <c r="F259" s="8">
        <v>20935</v>
      </c>
      <c r="G259" s="8">
        <v>1104</v>
      </c>
      <c r="H259" s="8">
        <v>876</v>
      </c>
      <c r="I259" s="8">
        <v>1270</v>
      </c>
      <c r="J259" s="8">
        <v>21454</v>
      </c>
      <c r="K259" s="8">
        <v>208722</v>
      </c>
      <c r="L259" s="6" t="s">
        <v>25</v>
      </c>
      <c r="M259" s="48">
        <f>(F259+G259+H259)/[1]!Table23[[#This Row],[Impressions]]</f>
        <v>0.24928201557808624</v>
      </c>
    </row>
    <row r="260" spans="1:13" ht="16.2" customHeight="1" thickBot="1" x14ac:dyDescent="0.35">
      <c r="A260" s="6" t="s">
        <v>295</v>
      </c>
      <c r="B260" s="6" t="s">
        <v>18</v>
      </c>
      <c r="C260" s="7">
        <v>45698</v>
      </c>
      <c r="D260" s="6" t="s">
        <v>34</v>
      </c>
      <c r="E260" s="6" t="s">
        <v>19</v>
      </c>
      <c r="F260" s="8">
        <v>16309</v>
      </c>
      <c r="G260" s="8">
        <v>1449</v>
      </c>
      <c r="H260" s="8">
        <v>838</v>
      </c>
      <c r="I260" s="8">
        <v>2434</v>
      </c>
      <c r="J260" s="8">
        <v>2940</v>
      </c>
      <c r="K260" s="8">
        <v>217953</v>
      </c>
      <c r="L260" s="6" t="s">
        <v>29</v>
      </c>
      <c r="M260" s="48">
        <f>(F260+G260+H260)/[1]!Table23[[#This Row],[Impressions]]</f>
        <v>0.10501231054188973</v>
      </c>
    </row>
    <row r="261" spans="1:13" ht="16.2" customHeight="1" thickBot="1" x14ac:dyDescent="0.35">
      <c r="A261" s="6" t="s">
        <v>296</v>
      </c>
      <c r="B261" s="6" t="s">
        <v>13</v>
      </c>
      <c r="C261" s="7">
        <v>45700</v>
      </c>
      <c r="D261" s="6" t="s">
        <v>27</v>
      </c>
      <c r="E261" s="6" t="s">
        <v>19</v>
      </c>
      <c r="F261" s="8">
        <v>15234</v>
      </c>
      <c r="G261" s="8">
        <v>1276</v>
      </c>
      <c r="H261" s="8">
        <v>670</v>
      </c>
      <c r="I261" s="8">
        <v>1860</v>
      </c>
      <c r="J261" s="8">
        <v>60397</v>
      </c>
      <c r="K261" s="8">
        <v>86413</v>
      </c>
      <c r="L261" s="6" t="s">
        <v>45</v>
      </c>
      <c r="M261" s="48">
        <f>(F261+G261+H261)/[1]!Table23[[#This Row],[Impressions]]</f>
        <v>7.4274226670413529E-2</v>
      </c>
    </row>
    <row r="262" spans="1:13" ht="16.2" customHeight="1" thickBot="1" x14ac:dyDescent="0.35">
      <c r="A262" s="6" t="s">
        <v>297</v>
      </c>
      <c r="B262" s="6" t="s">
        <v>22</v>
      </c>
      <c r="C262" s="7">
        <v>45592</v>
      </c>
      <c r="D262" s="6" t="s">
        <v>34</v>
      </c>
      <c r="E262" s="6" t="s">
        <v>15</v>
      </c>
      <c r="F262" s="8">
        <v>7560</v>
      </c>
      <c r="G262" s="8">
        <v>1139</v>
      </c>
      <c r="H262" s="8">
        <v>248</v>
      </c>
      <c r="I262" s="8">
        <v>1624</v>
      </c>
      <c r="J262" s="8">
        <v>72237</v>
      </c>
      <c r="K262" s="8">
        <v>177084</v>
      </c>
      <c r="L262" s="6" t="s">
        <v>25</v>
      </c>
      <c r="M262" s="48">
        <f>(F262+G262+H262)/[1]!Table23[[#This Row],[Impressions]]</f>
        <v>3.7179865442713421E-2</v>
      </c>
    </row>
    <row r="263" spans="1:13" ht="16.2" customHeight="1" thickBot="1" x14ac:dyDescent="0.35">
      <c r="A263" s="6" t="s">
        <v>298</v>
      </c>
      <c r="B263" s="6" t="s">
        <v>40</v>
      </c>
      <c r="C263" s="7">
        <v>45675</v>
      </c>
      <c r="D263" s="6" t="s">
        <v>23</v>
      </c>
      <c r="E263" s="6" t="s">
        <v>55</v>
      </c>
      <c r="F263" s="8">
        <v>22673</v>
      </c>
      <c r="G263" s="8">
        <v>1053</v>
      </c>
      <c r="H263" s="8">
        <v>169</v>
      </c>
      <c r="I263" s="8">
        <v>1566</v>
      </c>
      <c r="J263" s="8">
        <v>9417</v>
      </c>
      <c r="K263" s="8">
        <v>221187</v>
      </c>
      <c r="L263" s="6" t="s">
        <v>29</v>
      </c>
      <c r="M263" s="48">
        <f>(F263+G263+H263)/[1]!Table23[[#This Row],[Impressions]]</f>
        <v>0.14879970109287916</v>
      </c>
    </row>
    <row r="264" spans="1:13" ht="16.2" customHeight="1" thickBot="1" x14ac:dyDescent="0.35">
      <c r="A264" s="6" t="s">
        <v>299</v>
      </c>
      <c r="B264" s="6" t="s">
        <v>22</v>
      </c>
      <c r="C264" s="7">
        <v>45524</v>
      </c>
      <c r="D264" s="6" t="s">
        <v>23</v>
      </c>
      <c r="E264" s="6" t="s">
        <v>32</v>
      </c>
      <c r="F264" s="8">
        <v>2846</v>
      </c>
      <c r="G264" s="8">
        <v>792</v>
      </c>
      <c r="H264" s="8">
        <v>902</v>
      </c>
      <c r="I264" s="8">
        <v>2469</v>
      </c>
      <c r="J264" s="8">
        <v>12130</v>
      </c>
      <c r="K264" s="8">
        <v>47151</v>
      </c>
      <c r="L264" s="6" t="s">
        <v>16</v>
      </c>
      <c r="M264" s="48">
        <f>(F264+G264+H264)/[1]!Table23[[#This Row],[Impressions]]</f>
        <v>1.8218079236606302E-2</v>
      </c>
    </row>
    <row r="265" spans="1:13" ht="16.2" customHeight="1" thickBot="1" x14ac:dyDescent="0.35">
      <c r="A265" s="6" t="s">
        <v>300</v>
      </c>
      <c r="B265" s="6" t="s">
        <v>22</v>
      </c>
      <c r="C265" s="7">
        <v>45687</v>
      </c>
      <c r="D265" s="6" t="s">
        <v>23</v>
      </c>
      <c r="E265" s="6" t="s">
        <v>55</v>
      </c>
      <c r="F265" s="8">
        <v>12954</v>
      </c>
      <c r="G265" s="8">
        <v>913</v>
      </c>
      <c r="H265" s="8">
        <v>722</v>
      </c>
      <c r="I265" s="8">
        <v>1049</v>
      </c>
      <c r="J265" s="8">
        <v>475</v>
      </c>
      <c r="K265" s="8">
        <v>97716</v>
      </c>
      <c r="L265" s="6" t="s">
        <v>16</v>
      </c>
      <c r="M265" s="48">
        <f>(F265+G265+H265)/[1]!Table23[[#This Row],[Impressions]]</f>
        <v>0.11518965353883082</v>
      </c>
    </row>
    <row r="266" spans="1:13" ht="16.2" customHeight="1" thickBot="1" x14ac:dyDescent="0.35">
      <c r="A266" s="6" t="s">
        <v>301</v>
      </c>
      <c r="B266" s="6" t="s">
        <v>13</v>
      </c>
      <c r="C266" s="7">
        <v>45708</v>
      </c>
      <c r="D266" s="6" t="s">
        <v>34</v>
      </c>
      <c r="E266" s="6" t="s">
        <v>41</v>
      </c>
      <c r="F266" s="8">
        <v>15703</v>
      </c>
      <c r="G266" s="8">
        <v>1381</v>
      </c>
      <c r="H266" s="8">
        <v>639</v>
      </c>
      <c r="I266" s="8">
        <v>984</v>
      </c>
      <c r="J266" s="8">
        <v>10967</v>
      </c>
      <c r="K266" s="8">
        <v>133747</v>
      </c>
      <c r="L266" s="6" t="s">
        <v>45</v>
      </c>
      <c r="M266" s="48">
        <f>(F266+G266+H266)/[1]!Table23[[#This Row],[Impressions]]</f>
        <v>0.1120616614186173</v>
      </c>
    </row>
    <row r="267" spans="1:13" ht="16.2" customHeight="1" thickBot="1" x14ac:dyDescent="0.35">
      <c r="A267" s="6" t="s">
        <v>302</v>
      </c>
      <c r="B267" s="6" t="s">
        <v>40</v>
      </c>
      <c r="C267" s="7">
        <v>45621</v>
      </c>
      <c r="D267" s="6" t="s">
        <v>27</v>
      </c>
      <c r="E267" s="6" t="s">
        <v>41</v>
      </c>
      <c r="F267" s="8">
        <v>17385</v>
      </c>
      <c r="G267" s="8">
        <v>831</v>
      </c>
      <c r="H267" s="8">
        <v>568</v>
      </c>
      <c r="I267" s="8">
        <v>2227</v>
      </c>
      <c r="J267" s="8">
        <v>49351</v>
      </c>
      <c r="K267" s="8">
        <v>207450</v>
      </c>
      <c r="L267" s="6" t="s">
        <v>25</v>
      </c>
      <c r="M267" s="48">
        <f>(F267+G267+H267)/[1]!Table23[[#This Row],[Impressions]]</f>
        <v>8.5973471984474983E-2</v>
      </c>
    </row>
    <row r="268" spans="1:13" ht="16.2" customHeight="1" thickBot="1" x14ac:dyDescent="0.35">
      <c r="A268" s="6" t="s">
        <v>303</v>
      </c>
      <c r="B268" s="6" t="s">
        <v>18</v>
      </c>
      <c r="C268" s="7">
        <v>45569</v>
      </c>
      <c r="D268" s="6" t="s">
        <v>27</v>
      </c>
      <c r="E268" s="6" t="s">
        <v>50</v>
      </c>
      <c r="F268" s="8">
        <v>15746</v>
      </c>
      <c r="G268" s="8">
        <v>258</v>
      </c>
      <c r="H268" s="8">
        <v>839</v>
      </c>
      <c r="I268" s="8">
        <v>2656</v>
      </c>
      <c r="J268" s="8">
        <v>66614</v>
      </c>
      <c r="K268" s="8">
        <v>213724</v>
      </c>
      <c r="L268" s="6" t="s">
        <v>25</v>
      </c>
      <c r="M268" s="48">
        <f>(F268+G268+H268)/[1]!Table23[[#This Row],[Impressions]]</f>
        <v>7.6633983210865161E-2</v>
      </c>
    </row>
    <row r="269" spans="1:13" ht="16.2" customHeight="1" thickBot="1" x14ac:dyDescent="0.35">
      <c r="A269" s="6" t="s">
        <v>304</v>
      </c>
      <c r="B269" s="6" t="s">
        <v>18</v>
      </c>
      <c r="C269" s="7">
        <v>45760</v>
      </c>
      <c r="D269" s="6" t="s">
        <v>34</v>
      </c>
      <c r="E269" s="6" t="s">
        <v>64</v>
      </c>
      <c r="F269" s="8">
        <v>24700</v>
      </c>
      <c r="G269" s="8">
        <v>327</v>
      </c>
      <c r="H269" s="8">
        <v>999</v>
      </c>
      <c r="I269" s="8">
        <v>994</v>
      </c>
      <c r="J269" s="8">
        <v>59400</v>
      </c>
      <c r="K269" s="8">
        <v>243502</v>
      </c>
      <c r="L269" s="6" t="s">
        <v>25</v>
      </c>
      <c r="M269" s="48">
        <f>(F269+G269+H269)/[1]!Table23[[#This Row],[Impressions]]</f>
        <v>0.26238796640756534</v>
      </c>
    </row>
    <row r="270" spans="1:13" ht="16.2" customHeight="1" thickBot="1" x14ac:dyDescent="0.35">
      <c r="A270" s="6" t="s">
        <v>305</v>
      </c>
      <c r="B270" s="6" t="s">
        <v>13</v>
      </c>
      <c r="C270" s="7">
        <v>45601</v>
      </c>
      <c r="D270" s="6" t="s">
        <v>23</v>
      </c>
      <c r="E270" s="6" t="s">
        <v>64</v>
      </c>
      <c r="F270" s="8">
        <v>8469</v>
      </c>
      <c r="G270" s="8">
        <v>935</v>
      </c>
      <c r="H270" s="8">
        <v>211</v>
      </c>
      <c r="I270" s="8">
        <v>2635</v>
      </c>
      <c r="J270" s="8">
        <v>21890</v>
      </c>
      <c r="K270" s="8">
        <v>184539</v>
      </c>
      <c r="L270" s="6" t="s">
        <v>45</v>
      </c>
      <c r="M270" s="48">
        <f>(F270+G270+H270)/[1]!Table23[[#This Row],[Impressions]]</f>
        <v>4.3471380775838682E-2</v>
      </c>
    </row>
    <row r="271" spans="1:13" ht="16.2" customHeight="1" thickBot="1" x14ac:dyDescent="0.35">
      <c r="A271" s="6" t="s">
        <v>306</v>
      </c>
      <c r="B271" s="6" t="s">
        <v>13</v>
      </c>
      <c r="C271" s="7">
        <v>45672</v>
      </c>
      <c r="D271" s="6" t="s">
        <v>23</v>
      </c>
      <c r="E271" s="6" t="s">
        <v>19</v>
      </c>
      <c r="F271" s="8">
        <v>11333</v>
      </c>
      <c r="G271" s="8">
        <v>920</v>
      </c>
      <c r="H271" s="8">
        <v>294</v>
      </c>
      <c r="I271" s="8">
        <v>606</v>
      </c>
      <c r="J271" s="8">
        <v>59490</v>
      </c>
      <c r="K271" s="8">
        <v>202082</v>
      </c>
      <c r="L271" s="6" t="s">
        <v>25</v>
      </c>
      <c r="M271" s="48">
        <f>(F271+G271+H271)/[1]!Table23[[#This Row],[Impressions]]</f>
        <v>7.1475772179877176E-2</v>
      </c>
    </row>
    <row r="272" spans="1:13" ht="16.2" customHeight="1" thickBot="1" x14ac:dyDescent="0.35">
      <c r="A272" s="6" t="s">
        <v>307</v>
      </c>
      <c r="B272" s="6" t="s">
        <v>40</v>
      </c>
      <c r="C272" s="7">
        <v>45582</v>
      </c>
      <c r="D272" s="6" t="s">
        <v>27</v>
      </c>
      <c r="E272" s="6" t="s">
        <v>24</v>
      </c>
      <c r="F272" s="8">
        <v>18608</v>
      </c>
      <c r="G272" s="8">
        <v>1338</v>
      </c>
      <c r="H272" s="8">
        <v>365</v>
      </c>
      <c r="I272" s="8">
        <v>2289</v>
      </c>
      <c r="J272" s="8">
        <v>20785</v>
      </c>
      <c r="K272" s="8">
        <v>161999</v>
      </c>
      <c r="L272" s="6" t="s">
        <v>16</v>
      </c>
      <c r="M272" s="48">
        <f>(F272+G272+H272)/[1]!Table23[[#This Row],[Impressions]]</f>
        <v>9.1594550595493096E-2</v>
      </c>
    </row>
    <row r="273" spans="1:13" ht="16.2" customHeight="1" thickBot="1" x14ac:dyDescent="0.35">
      <c r="A273" s="6" t="s">
        <v>308</v>
      </c>
      <c r="B273" s="6" t="s">
        <v>18</v>
      </c>
      <c r="C273" s="7">
        <v>45743</v>
      </c>
      <c r="D273" s="6" t="s">
        <v>23</v>
      </c>
      <c r="E273" s="6" t="s">
        <v>55</v>
      </c>
      <c r="F273" s="8">
        <v>14819</v>
      </c>
      <c r="G273" s="8">
        <v>1432</v>
      </c>
      <c r="H273" s="8">
        <v>152</v>
      </c>
      <c r="I273" s="8">
        <v>961</v>
      </c>
      <c r="J273" s="8">
        <v>39154</v>
      </c>
      <c r="K273" s="8">
        <v>154793</v>
      </c>
      <c r="L273" s="6" t="s">
        <v>29</v>
      </c>
      <c r="M273" s="48">
        <f>(F273+G273+H273)/[1]!Table23[[#This Row],[Impressions]]</f>
        <v>9.2490470712948553E-2</v>
      </c>
    </row>
    <row r="274" spans="1:13" ht="16.2" customHeight="1" thickBot="1" x14ac:dyDescent="0.35">
      <c r="A274" s="6" t="s">
        <v>309</v>
      </c>
      <c r="B274" s="6" t="s">
        <v>18</v>
      </c>
      <c r="C274" s="7">
        <v>45577</v>
      </c>
      <c r="D274" s="6" t="s">
        <v>14</v>
      </c>
      <c r="E274" s="6" t="s">
        <v>115</v>
      </c>
      <c r="F274" s="8">
        <v>6208</v>
      </c>
      <c r="G274" s="8">
        <v>725</v>
      </c>
      <c r="H274" s="8">
        <v>309</v>
      </c>
      <c r="I274" s="8">
        <v>848</v>
      </c>
      <c r="J274" s="8">
        <v>39319</v>
      </c>
      <c r="K274" s="8">
        <v>225763</v>
      </c>
      <c r="L274" s="6" t="s">
        <v>16</v>
      </c>
      <c r="M274" s="48">
        <f>(F274+G274+H274)/[1]!Table23[[#This Row],[Impressions]]</f>
        <v>4.4051630798428207E-2</v>
      </c>
    </row>
    <row r="275" spans="1:13" ht="16.2" customHeight="1" thickBot="1" x14ac:dyDescent="0.35">
      <c r="A275" s="6" t="s">
        <v>310</v>
      </c>
      <c r="B275" s="6" t="s">
        <v>18</v>
      </c>
      <c r="C275" s="7">
        <v>45658</v>
      </c>
      <c r="D275" s="6" t="s">
        <v>27</v>
      </c>
      <c r="E275" s="6" t="s">
        <v>35</v>
      </c>
      <c r="F275" s="8">
        <v>8283</v>
      </c>
      <c r="G275" s="8">
        <v>720</v>
      </c>
      <c r="H275" s="8">
        <v>888</v>
      </c>
      <c r="I275" s="8">
        <v>611</v>
      </c>
      <c r="J275" s="8">
        <v>52791</v>
      </c>
      <c r="K275" s="8">
        <v>235229</v>
      </c>
      <c r="L275" s="6" t="s">
        <v>16</v>
      </c>
      <c r="M275" s="48">
        <f>(F275+G275+H275)/[1]!Table23[[#This Row],[Impressions]]</f>
        <v>3.9757060284742712E-2</v>
      </c>
    </row>
    <row r="276" spans="1:13" ht="16.2" customHeight="1" thickBot="1" x14ac:dyDescent="0.35">
      <c r="A276" s="6" t="s">
        <v>311</v>
      </c>
      <c r="B276" s="6" t="s">
        <v>22</v>
      </c>
      <c r="C276" s="7">
        <v>45509</v>
      </c>
      <c r="D276" s="6" t="s">
        <v>23</v>
      </c>
      <c r="E276" s="6" t="s">
        <v>37</v>
      </c>
      <c r="F276" s="8">
        <v>4048</v>
      </c>
      <c r="G276" s="8">
        <v>751</v>
      </c>
      <c r="H276" s="8">
        <v>930</v>
      </c>
      <c r="I276" s="8">
        <v>1382</v>
      </c>
      <c r="J276" s="8">
        <v>16844</v>
      </c>
      <c r="K276" s="8">
        <v>148177</v>
      </c>
      <c r="L276" s="6" t="s">
        <v>29</v>
      </c>
      <c r="M276" s="48">
        <f>(F276+G276+H276)/[1]!Table23[[#This Row],[Impressions]]</f>
        <v>2.4354990243549902E-2</v>
      </c>
    </row>
    <row r="277" spans="1:13" ht="16.2" customHeight="1" thickBot="1" x14ac:dyDescent="0.35">
      <c r="A277" s="6" t="s">
        <v>312</v>
      </c>
      <c r="B277" s="6" t="s">
        <v>18</v>
      </c>
      <c r="C277" s="7">
        <v>45450</v>
      </c>
      <c r="D277" s="6" t="s">
        <v>27</v>
      </c>
      <c r="E277" s="6" t="s">
        <v>28</v>
      </c>
      <c r="F277" s="8">
        <v>8233</v>
      </c>
      <c r="G277" s="8">
        <v>436</v>
      </c>
      <c r="H277" s="8">
        <v>269</v>
      </c>
      <c r="I277" s="8">
        <v>2037</v>
      </c>
      <c r="J277" s="8">
        <v>8875</v>
      </c>
      <c r="K277" s="8">
        <v>52289</v>
      </c>
      <c r="L277" s="6" t="s">
        <v>16</v>
      </c>
      <c r="M277" s="48">
        <f>(F277+G277+H277)/[1]!Table23[[#This Row],[Impressions]]</f>
        <v>4.9605949605949606E-2</v>
      </c>
    </row>
    <row r="278" spans="1:13" ht="16.2" customHeight="1" thickBot="1" x14ac:dyDescent="0.35">
      <c r="A278" s="6" t="s">
        <v>313</v>
      </c>
      <c r="B278" s="6" t="s">
        <v>22</v>
      </c>
      <c r="C278" s="7">
        <v>45753</v>
      </c>
      <c r="D278" s="6" t="s">
        <v>14</v>
      </c>
      <c r="E278" s="6" t="s">
        <v>64</v>
      </c>
      <c r="F278" s="8">
        <v>14941</v>
      </c>
      <c r="G278" s="8">
        <v>1424</v>
      </c>
      <c r="H278" s="8">
        <v>238</v>
      </c>
      <c r="I278" s="8">
        <v>1054</v>
      </c>
      <c r="J278" s="8">
        <v>20516</v>
      </c>
      <c r="K278" s="8">
        <v>216048</v>
      </c>
      <c r="L278" s="6" t="s">
        <v>45</v>
      </c>
      <c r="M278" s="48">
        <f>(F278+G278+H278)/[1]!Table23[[#This Row],[Impressions]]</f>
        <v>0.19446233851415454</v>
      </c>
    </row>
    <row r="279" spans="1:13" ht="16.2" customHeight="1" thickBot="1" x14ac:dyDescent="0.35">
      <c r="A279" s="6" t="s">
        <v>314</v>
      </c>
      <c r="B279" s="6" t="s">
        <v>40</v>
      </c>
      <c r="C279" s="7">
        <v>45622</v>
      </c>
      <c r="D279" s="6" t="s">
        <v>27</v>
      </c>
      <c r="E279" s="6" t="s">
        <v>35</v>
      </c>
      <c r="F279" s="8">
        <v>14607</v>
      </c>
      <c r="G279" s="8">
        <v>1458</v>
      </c>
      <c r="H279" s="8">
        <v>478</v>
      </c>
      <c r="I279" s="8">
        <v>334</v>
      </c>
      <c r="J279" s="8">
        <v>49257</v>
      </c>
      <c r="K279" s="8">
        <v>214668</v>
      </c>
      <c r="L279" s="6" t="s">
        <v>29</v>
      </c>
      <c r="M279" s="48">
        <f>(F279+G279+H279)/[1]!Table23[[#This Row],[Impressions]]</f>
        <v>7.8419939892109186E-2</v>
      </c>
    </row>
    <row r="280" spans="1:13" ht="16.2" customHeight="1" thickBot="1" x14ac:dyDescent="0.35">
      <c r="A280" s="6" t="s">
        <v>315</v>
      </c>
      <c r="B280" s="6" t="s">
        <v>22</v>
      </c>
      <c r="C280" s="7">
        <v>45537</v>
      </c>
      <c r="D280" s="6" t="s">
        <v>27</v>
      </c>
      <c r="E280" s="6" t="s">
        <v>28</v>
      </c>
      <c r="F280" s="8">
        <v>11765</v>
      </c>
      <c r="G280" s="8">
        <v>693</v>
      </c>
      <c r="H280" s="8">
        <v>729</v>
      </c>
      <c r="I280" s="8">
        <v>744</v>
      </c>
      <c r="J280" s="8">
        <v>97772</v>
      </c>
      <c r="K280" s="8">
        <v>194243</v>
      </c>
      <c r="L280" s="6" t="s">
        <v>16</v>
      </c>
      <c r="M280" s="48">
        <f>(F280+G280+H280)/[1]!Table23[[#This Row],[Impressions]]</f>
        <v>5.4329196947973828E-2</v>
      </c>
    </row>
    <row r="281" spans="1:13" ht="16.2" customHeight="1" thickBot="1" x14ac:dyDescent="0.35">
      <c r="A281" s="6" t="s">
        <v>316</v>
      </c>
      <c r="B281" s="6" t="s">
        <v>40</v>
      </c>
      <c r="C281" s="9">
        <v>45918</v>
      </c>
      <c r="D281" s="6" t="s">
        <v>27</v>
      </c>
      <c r="E281" s="6" t="s">
        <v>35</v>
      </c>
      <c r="F281" s="8">
        <v>3828</v>
      </c>
      <c r="G281" s="8">
        <v>203</v>
      </c>
      <c r="H281" s="8">
        <v>506</v>
      </c>
      <c r="I281" s="8">
        <v>2440</v>
      </c>
      <c r="J281" s="8">
        <v>63650</v>
      </c>
      <c r="K281" s="8">
        <v>126365</v>
      </c>
      <c r="L281" s="6" t="s">
        <v>20</v>
      </c>
      <c r="M281" s="48">
        <f>(F281+G281+H281)/[1]!Table23[[#This Row],[Impressions]]</f>
        <v>2.0974236407428126E-2</v>
      </c>
    </row>
    <row r="282" spans="1:13" ht="16.2" customHeight="1" thickBot="1" x14ac:dyDescent="0.35">
      <c r="A282" s="6" t="s">
        <v>317</v>
      </c>
      <c r="B282" s="6" t="s">
        <v>18</v>
      </c>
      <c r="C282" s="7">
        <v>45738</v>
      </c>
      <c r="D282" s="6" t="s">
        <v>27</v>
      </c>
      <c r="E282" s="6" t="s">
        <v>50</v>
      </c>
      <c r="F282" s="8">
        <v>3917</v>
      </c>
      <c r="G282" s="8">
        <v>865</v>
      </c>
      <c r="H282" s="8">
        <v>759</v>
      </c>
      <c r="I282" s="8">
        <v>2282</v>
      </c>
      <c r="J282" s="8">
        <v>56125</v>
      </c>
      <c r="K282" s="8">
        <v>154014</v>
      </c>
      <c r="L282" s="6" t="s">
        <v>16</v>
      </c>
      <c r="M282" s="48">
        <f>(F282+G282+H282)/[1]!Table23[[#This Row],[Impressions]]</f>
        <v>3.7394467427468499E-2</v>
      </c>
    </row>
    <row r="283" spans="1:13" ht="16.2" customHeight="1" thickBot="1" x14ac:dyDescent="0.35">
      <c r="A283" s="6" t="s">
        <v>318</v>
      </c>
      <c r="B283" s="6" t="s">
        <v>18</v>
      </c>
      <c r="C283" s="7">
        <v>45568</v>
      </c>
      <c r="D283" s="6" t="s">
        <v>14</v>
      </c>
      <c r="E283" s="6" t="s">
        <v>28</v>
      </c>
      <c r="F283" s="8">
        <v>22618</v>
      </c>
      <c r="G283" s="8">
        <v>641</v>
      </c>
      <c r="H283" s="8">
        <v>416</v>
      </c>
      <c r="I283" s="8">
        <v>1530</v>
      </c>
      <c r="J283" s="8">
        <v>18395</v>
      </c>
      <c r="K283" s="8">
        <v>215211</v>
      </c>
      <c r="L283" s="6" t="s">
        <v>45</v>
      </c>
      <c r="M283" s="48">
        <f>(F283+G283+H283)/[1]!Table23[[#This Row],[Impressions]]</f>
        <v>0.11357530750484524</v>
      </c>
    </row>
    <row r="284" spans="1:13" ht="16.2" customHeight="1" thickBot="1" x14ac:dyDescent="0.35">
      <c r="A284" s="6" t="s">
        <v>319</v>
      </c>
      <c r="B284" s="6" t="s">
        <v>40</v>
      </c>
      <c r="C284" s="7">
        <v>45786</v>
      </c>
      <c r="D284" s="6" t="s">
        <v>34</v>
      </c>
      <c r="E284" s="6" t="s">
        <v>37</v>
      </c>
      <c r="F284" s="8">
        <v>8988</v>
      </c>
      <c r="G284" s="8">
        <v>228</v>
      </c>
      <c r="H284" s="8">
        <v>766</v>
      </c>
      <c r="I284" s="8">
        <v>652</v>
      </c>
      <c r="J284" s="8">
        <v>63789</v>
      </c>
      <c r="K284" s="8">
        <v>219785</v>
      </c>
      <c r="L284" s="6" t="s">
        <v>25</v>
      </c>
      <c r="M284" s="48">
        <f>(F284+G284+H284)/[1]!Table23[[#This Row],[Impressions]]</f>
        <v>4.576044302636887E-2</v>
      </c>
    </row>
    <row r="285" spans="1:13" ht="16.2" customHeight="1" thickBot="1" x14ac:dyDescent="0.35">
      <c r="A285" s="6" t="s">
        <v>320</v>
      </c>
      <c r="B285" s="6" t="s">
        <v>13</v>
      </c>
      <c r="C285" s="7">
        <v>45552</v>
      </c>
      <c r="D285" s="6" t="s">
        <v>27</v>
      </c>
      <c r="E285" s="6" t="s">
        <v>35</v>
      </c>
      <c r="F285" s="8">
        <v>20410</v>
      </c>
      <c r="G285" s="8">
        <v>1332</v>
      </c>
      <c r="H285" s="8">
        <v>472</v>
      </c>
      <c r="I285" s="8">
        <v>1202</v>
      </c>
      <c r="J285" s="8">
        <v>9418</v>
      </c>
      <c r="K285" s="8">
        <v>200806</v>
      </c>
      <c r="L285" s="6" t="s">
        <v>16</v>
      </c>
      <c r="M285" s="48">
        <f>(F285+G285+H285)/[1]!Table23[[#This Row],[Impressions]]</f>
        <v>0.14423364109756256</v>
      </c>
    </row>
    <row r="286" spans="1:13" ht="16.2" customHeight="1" thickBot="1" x14ac:dyDescent="0.35">
      <c r="A286" s="6" t="s">
        <v>321</v>
      </c>
      <c r="B286" s="6" t="s">
        <v>40</v>
      </c>
      <c r="C286" s="7">
        <v>45491</v>
      </c>
      <c r="D286" s="6" t="s">
        <v>27</v>
      </c>
      <c r="E286" s="6" t="s">
        <v>15</v>
      </c>
      <c r="F286" s="8">
        <v>16594</v>
      </c>
      <c r="G286" s="8">
        <v>809</v>
      </c>
      <c r="H286" s="8">
        <v>784</v>
      </c>
      <c r="I286" s="8">
        <v>1655</v>
      </c>
      <c r="J286" s="8">
        <v>35505</v>
      </c>
      <c r="K286" s="8">
        <v>112588</v>
      </c>
      <c r="L286" s="6" t="s">
        <v>25</v>
      </c>
      <c r="M286" s="48">
        <f>(F286+G286+H286)/[1]!Table23[[#This Row],[Impressions]]</f>
        <v>0.14392434614014957</v>
      </c>
    </row>
    <row r="287" spans="1:13" ht="16.2" customHeight="1" thickBot="1" x14ac:dyDescent="0.35">
      <c r="A287" s="6" t="s">
        <v>322</v>
      </c>
      <c r="B287" s="6" t="s">
        <v>13</v>
      </c>
      <c r="C287" s="9">
        <v>45919</v>
      </c>
      <c r="D287" s="6" t="s">
        <v>23</v>
      </c>
      <c r="E287" s="6" t="s">
        <v>37</v>
      </c>
      <c r="F287" s="8">
        <v>22128</v>
      </c>
      <c r="G287" s="8">
        <v>1004</v>
      </c>
      <c r="H287" s="8">
        <v>690</v>
      </c>
      <c r="I287" s="8">
        <v>2048</v>
      </c>
      <c r="J287" s="8">
        <v>19443</v>
      </c>
      <c r="K287" s="8">
        <v>103646</v>
      </c>
      <c r="L287" s="6" t="s">
        <v>20</v>
      </c>
      <c r="M287" s="48">
        <f>(F287+G287+H287)/[1]!Table23[[#This Row],[Impressions]]</f>
        <v>9.7818767143537599E-2</v>
      </c>
    </row>
    <row r="288" spans="1:13" ht="16.2" customHeight="1" thickBot="1" x14ac:dyDescent="0.35">
      <c r="A288" s="6" t="s">
        <v>323</v>
      </c>
      <c r="B288" s="6" t="s">
        <v>22</v>
      </c>
      <c r="C288" s="7">
        <v>45519</v>
      </c>
      <c r="D288" s="6" t="s">
        <v>27</v>
      </c>
      <c r="E288" s="6" t="s">
        <v>28</v>
      </c>
      <c r="F288" s="8">
        <v>14977</v>
      </c>
      <c r="G288" s="8">
        <v>274</v>
      </c>
      <c r="H288" s="8">
        <v>798</v>
      </c>
      <c r="I288" s="8">
        <v>458</v>
      </c>
      <c r="J288" s="8">
        <v>6636</v>
      </c>
      <c r="K288" s="8">
        <v>43654</v>
      </c>
      <c r="L288" s="6" t="s">
        <v>16</v>
      </c>
      <c r="M288" s="48">
        <f>(F288+G288+H288)/[1]!Table23[[#This Row],[Impressions]]</f>
        <v>6.7689880892128088E-2</v>
      </c>
    </row>
    <row r="289" spans="1:13" ht="16.2" customHeight="1" thickBot="1" x14ac:dyDescent="0.35">
      <c r="A289" s="6" t="s">
        <v>324</v>
      </c>
      <c r="B289" s="6" t="s">
        <v>22</v>
      </c>
      <c r="C289" s="7">
        <v>45764</v>
      </c>
      <c r="D289" s="6" t="s">
        <v>23</v>
      </c>
      <c r="E289" s="6" t="s">
        <v>37</v>
      </c>
      <c r="F289" s="8">
        <v>2009</v>
      </c>
      <c r="G289" s="8">
        <v>1037</v>
      </c>
      <c r="H289" s="8">
        <v>344</v>
      </c>
      <c r="I289" s="8">
        <v>2277</v>
      </c>
      <c r="J289" s="8">
        <v>85743</v>
      </c>
      <c r="K289" s="8">
        <v>58743</v>
      </c>
      <c r="L289" s="6" t="s">
        <v>29</v>
      </c>
      <c r="M289" s="48">
        <f>(F289+G289+H289)/[1]!Table23[[#This Row],[Impressions]]</f>
        <v>1.6446011963382155E-2</v>
      </c>
    </row>
    <row r="290" spans="1:13" ht="16.2" customHeight="1" thickBot="1" x14ac:dyDescent="0.35">
      <c r="A290" s="6" t="s">
        <v>325</v>
      </c>
      <c r="B290" s="6" t="s">
        <v>22</v>
      </c>
      <c r="C290" s="7">
        <v>45624</v>
      </c>
      <c r="D290" s="6" t="s">
        <v>34</v>
      </c>
      <c r="E290" s="6" t="s">
        <v>35</v>
      </c>
      <c r="F290" s="8">
        <v>18644</v>
      </c>
      <c r="G290" s="8">
        <v>1369</v>
      </c>
      <c r="H290" s="8">
        <v>887</v>
      </c>
      <c r="I290" s="8">
        <v>1256</v>
      </c>
      <c r="J290" s="8">
        <v>43415</v>
      </c>
      <c r="K290" s="8">
        <v>88368</v>
      </c>
      <c r="L290" s="6" t="s">
        <v>25</v>
      </c>
      <c r="M290" s="48">
        <f>(F290+G290+H290)/[1]!Table23[[#This Row],[Impressions]]</f>
        <v>0.13084170657651736</v>
      </c>
    </row>
    <row r="291" spans="1:13" ht="16.2" customHeight="1" thickBot="1" x14ac:dyDescent="0.35">
      <c r="A291" s="6" t="s">
        <v>326</v>
      </c>
      <c r="B291" s="6" t="s">
        <v>18</v>
      </c>
      <c r="C291" s="9">
        <v>45920</v>
      </c>
      <c r="D291" s="6" t="s">
        <v>14</v>
      </c>
      <c r="E291" s="6" t="s">
        <v>32</v>
      </c>
      <c r="F291" s="8">
        <v>24422</v>
      </c>
      <c r="G291" s="8">
        <v>327</v>
      </c>
      <c r="H291" s="8">
        <v>481</v>
      </c>
      <c r="I291" s="8">
        <v>2371</v>
      </c>
      <c r="J291" s="8">
        <v>35340</v>
      </c>
      <c r="K291" s="8">
        <v>245244</v>
      </c>
      <c r="L291" s="6" t="s">
        <v>20</v>
      </c>
      <c r="M291" s="48">
        <f>(F291+G291+H291)/[1]!Table23[[#This Row],[Impressions]]</f>
        <v>0.11175436187506367</v>
      </c>
    </row>
    <row r="292" spans="1:13" ht="16.2" customHeight="1" thickBot="1" x14ac:dyDescent="0.35">
      <c r="A292" s="6" t="s">
        <v>327</v>
      </c>
      <c r="B292" s="6" t="s">
        <v>22</v>
      </c>
      <c r="C292" s="7">
        <v>45602</v>
      </c>
      <c r="D292" s="6" t="s">
        <v>14</v>
      </c>
      <c r="E292" s="6" t="s">
        <v>35</v>
      </c>
      <c r="F292" s="8">
        <v>11865</v>
      </c>
      <c r="G292" s="8">
        <v>241</v>
      </c>
      <c r="H292" s="8">
        <v>319</v>
      </c>
      <c r="I292" s="8">
        <v>703</v>
      </c>
      <c r="J292" s="8">
        <v>69596</v>
      </c>
      <c r="K292" s="8">
        <v>177513</v>
      </c>
      <c r="L292" s="6" t="s">
        <v>29</v>
      </c>
      <c r="M292" s="48">
        <f>(F292+G292+H292)/[1]!Table23[[#This Row],[Impressions]]</f>
        <v>5.1547674857595656E-2</v>
      </c>
    </row>
    <row r="293" spans="1:13" ht="16.2" customHeight="1" thickBot="1" x14ac:dyDescent="0.35">
      <c r="A293" s="6" t="s">
        <v>328</v>
      </c>
      <c r="B293" s="6" t="s">
        <v>13</v>
      </c>
      <c r="C293" s="7">
        <v>45613</v>
      </c>
      <c r="D293" s="6" t="s">
        <v>34</v>
      </c>
      <c r="E293" s="6" t="s">
        <v>35</v>
      </c>
      <c r="F293" s="8">
        <v>4219</v>
      </c>
      <c r="G293" s="8">
        <v>240</v>
      </c>
      <c r="H293" s="8">
        <v>670</v>
      </c>
      <c r="I293" s="8">
        <v>815</v>
      </c>
      <c r="J293" s="8">
        <v>11978</v>
      </c>
      <c r="K293" s="8">
        <v>159735</v>
      </c>
      <c r="L293" s="6" t="s">
        <v>29</v>
      </c>
      <c r="M293" s="48">
        <f>(F293+G293+H293)/[1]!Table23[[#This Row],[Impressions]]</f>
        <v>2.7258860857041118E-2</v>
      </c>
    </row>
    <row r="294" spans="1:13" ht="16.2" customHeight="1" thickBot="1" x14ac:dyDescent="0.35">
      <c r="A294" s="6" t="s">
        <v>329</v>
      </c>
      <c r="B294" s="6" t="s">
        <v>22</v>
      </c>
      <c r="C294" s="7">
        <v>45791</v>
      </c>
      <c r="D294" s="6" t="s">
        <v>14</v>
      </c>
      <c r="E294" s="6" t="s">
        <v>50</v>
      </c>
      <c r="F294" s="8">
        <v>9041</v>
      </c>
      <c r="G294" s="8">
        <v>1133</v>
      </c>
      <c r="H294" s="8">
        <v>612</v>
      </c>
      <c r="I294" s="8">
        <v>1687</v>
      </c>
      <c r="J294" s="8">
        <v>28102</v>
      </c>
      <c r="K294" s="8">
        <v>195683</v>
      </c>
      <c r="L294" s="6" t="s">
        <v>29</v>
      </c>
      <c r="M294" s="48">
        <f>(F294+G294+H294)/[1]!Table23[[#This Row],[Impressions]]</f>
        <v>5.4891143930218121E-2</v>
      </c>
    </row>
    <row r="295" spans="1:13" ht="16.2" customHeight="1" thickBot="1" x14ac:dyDescent="0.35">
      <c r="A295" s="6" t="s">
        <v>330</v>
      </c>
      <c r="B295" s="6" t="s">
        <v>40</v>
      </c>
      <c r="C295" s="7">
        <v>45462</v>
      </c>
      <c r="D295" s="6" t="s">
        <v>34</v>
      </c>
      <c r="E295" s="6" t="s">
        <v>55</v>
      </c>
      <c r="F295" s="8">
        <v>20444</v>
      </c>
      <c r="G295" s="8">
        <v>233</v>
      </c>
      <c r="H295" s="8">
        <v>189</v>
      </c>
      <c r="I295" s="8">
        <v>2879</v>
      </c>
      <c r="J295" s="8">
        <v>28185</v>
      </c>
      <c r="K295" s="8">
        <v>159891</v>
      </c>
      <c r="L295" s="6" t="s">
        <v>29</v>
      </c>
      <c r="M295" s="48">
        <f>(F295+G295+H295)/[1]!Table23[[#This Row],[Impressions]]</f>
        <v>0.10216111943440753</v>
      </c>
    </row>
    <row r="296" spans="1:13" ht="16.2" customHeight="1" thickBot="1" x14ac:dyDescent="0.35">
      <c r="A296" s="6" t="s">
        <v>331</v>
      </c>
      <c r="B296" s="6" t="s">
        <v>40</v>
      </c>
      <c r="C296" s="7">
        <v>45783</v>
      </c>
      <c r="D296" s="6" t="s">
        <v>34</v>
      </c>
      <c r="E296" s="6" t="s">
        <v>15</v>
      </c>
      <c r="F296" s="8">
        <v>7287</v>
      </c>
      <c r="G296" s="8">
        <v>1240</v>
      </c>
      <c r="H296" s="8">
        <v>686</v>
      </c>
      <c r="I296" s="8">
        <v>1255</v>
      </c>
      <c r="J296" s="8">
        <v>15403</v>
      </c>
      <c r="K296" s="8">
        <v>147971</v>
      </c>
      <c r="L296" s="6" t="s">
        <v>16</v>
      </c>
      <c r="M296" s="48">
        <f>(F296+G296+H296)/[1]!Table23[[#This Row],[Impressions]]</f>
        <v>5.0444876392805323E-2</v>
      </c>
    </row>
    <row r="297" spans="1:13" ht="16.2" customHeight="1" thickBot="1" x14ac:dyDescent="0.35">
      <c r="A297" s="6" t="s">
        <v>332</v>
      </c>
      <c r="B297" s="6" t="s">
        <v>18</v>
      </c>
      <c r="C297" s="7">
        <v>45699</v>
      </c>
      <c r="D297" s="6" t="s">
        <v>34</v>
      </c>
      <c r="E297" s="6" t="s">
        <v>115</v>
      </c>
      <c r="F297" s="8">
        <v>3619</v>
      </c>
      <c r="G297" s="8">
        <v>1376</v>
      </c>
      <c r="H297" s="8">
        <v>410</v>
      </c>
      <c r="I297" s="8">
        <v>2499</v>
      </c>
      <c r="J297" s="8">
        <v>58146</v>
      </c>
      <c r="K297" s="8">
        <v>52149</v>
      </c>
      <c r="L297" s="6" t="s">
        <v>16</v>
      </c>
      <c r="M297" s="48">
        <f>(F297+G297+H297)/[1]!Table23[[#This Row],[Impressions]]</f>
        <v>2.2408139067274166E-2</v>
      </c>
    </row>
    <row r="298" spans="1:13" ht="16.2" customHeight="1" thickBot="1" x14ac:dyDescent="0.35">
      <c r="A298" s="6" t="s">
        <v>333</v>
      </c>
      <c r="B298" s="6" t="s">
        <v>40</v>
      </c>
      <c r="C298" s="7">
        <v>45650</v>
      </c>
      <c r="D298" s="6" t="s">
        <v>14</v>
      </c>
      <c r="E298" s="6" t="s">
        <v>64</v>
      </c>
      <c r="F298" s="8">
        <v>10512</v>
      </c>
      <c r="G298" s="8">
        <v>1197</v>
      </c>
      <c r="H298" s="8">
        <v>544</v>
      </c>
      <c r="I298" s="8">
        <v>2012</v>
      </c>
      <c r="J298" s="8">
        <v>10245</v>
      </c>
      <c r="K298" s="8">
        <v>140102</v>
      </c>
      <c r="L298" s="6" t="s">
        <v>16</v>
      </c>
      <c r="M298" s="48">
        <f>(F298+G298+H298)/[1]!Table23[[#This Row],[Impressions]]</f>
        <v>5.4956538899703082E-2</v>
      </c>
    </row>
    <row r="299" spans="1:13" ht="16.2" customHeight="1" thickBot="1" x14ac:dyDescent="0.35">
      <c r="A299" s="6" t="s">
        <v>334</v>
      </c>
      <c r="B299" s="6" t="s">
        <v>13</v>
      </c>
      <c r="C299" s="9">
        <v>45924</v>
      </c>
      <c r="D299" s="6" t="s">
        <v>23</v>
      </c>
      <c r="E299" s="6" t="s">
        <v>41</v>
      </c>
      <c r="F299" s="8">
        <v>3342</v>
      </c>
      <c r="G299" s="8">
        <v>787</v>
      </c>
      <c r="H299" s="8">
        <v>375</v>
      </c>
      <c r="I299" s="8">
        <v>907</v>
      </c>
      <c r="J299" s="8">
        <v>85823</v>
      </c>
      <c r="K299" s="8">
        <v>99189</v>
      </c>
      <c r="L299" s="6" t="s">
        <v>20</v>
      </c>
      <c r="M299" s="48">
        <f>(F299+G299+H299)/[1]!Table23[[#This Row],[Impressions]]</f>
        <v>1.9081754131767478E-2</v>
      </c>
    </row>
    <row r="300" spans="1:13" ht="16.2" customHeight="1" thickBot="1" x14ac:dyDescent="0.35">
      <c r="A300" s="6" t="s">
        <v>335</v>
      </c>
      <c r="B300" s="6" t="s">
        <v>22</v>
      </c>
      <c r="C300" s="9">
        <v>45925</v>
      </c>
      <c r="D300" s="6" t="s">
        <v>34</v>
      </c>
      <c r="E300" s="6" t="s">
        <v>55</v>
      </c>
      <c r="F300" s="8">
        <v>12568</v>
      </c>
      <c r="G300" s="8">
        <v>541</v>
      </c>
      <c r="H300" s="8">
        <v>273</v>
      </c>
      <c r="I300" s="8">
        <v>2767</v>
      </c>
      <c r="J300" s="8">
        <v>22331</v>
      </c>
      <c r="K300" s="8">
        <v>192747</v>
      </c>
      <c r="L300" s="6" t="s">
        <v>20</v>
      </c>
      <c r="M300" s="48">
        <f>(F300+G300+H300)/[1]!Table23[[#This Row],[Impressions]]</f>
        <v>5.3827063162933259E-2</v>
      </c>
    </row>
    <row r="301" spans="1:13" ht="16.2" customHeight="1" thickBot="1" x14ac:dyDescent="0.35">
      <c r="A301" s="10" t="s">
        <v>336</v>
      </c>
      <c r="B301" s="10" t="s">
        <v>18</v>
      </c>
      <c r="C301" s="11">
        <v>45926</v>
      </c>
      <c r="D301" s="10" t="s">
        <v>27</v>
      </c>
      <c r="E301" s="10" t="s">
        <v>41</v>
      </c>
      <c r="F301" s="12">
        <v>21216</v>
      </c>
      <c r="G301" s="12">
        <v>226</v>
      </c>
      <c r="H301" s="12">
        <v>187</v>
      </c>
      <c r="I301" s="12">
        <v>1573</v>
      </c>
      <c r="J301" s="12">
        <v>62688</v>
      </c>
      <c r="K301" s="12">
        <v>111031</v>
      </c>
      <c r="L301" s="10" t="s">
        <v>20</v>
      </c>
      <c r="M301" s="49">
        <f>(F301+G301+H301)/[1]!Table23[[#This Row],[Impressions]]</f>
        <v>0.1092064870541665</v>
      </c>
    </row>
    <row r="302" spans="1:13" ht="15" thickBot="1" x14ac:dyDescent="0.35">
      <c r="M302" s="50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4A56-E8FC-4F8E-B5E0-4FD03A0584E1}">
  <dimension ref="A1:G201"/>
  <sheetViews>
    <sheetView workbookViewId="0">
      <selection activeCell="G20" sqref="G20"/>
    </sheetView>
  </sheetViews>
  <sheetFormatPr defaultColWidth="15.6640625" defaultRowHeight="14.4" x14ac:dyDescent="0.3"/>
  <cols>
    <col min="1" max="1" width="17.5546875" customWidth="1"/>
    <col min="3" max="4" width="15.6640625" style="13"/>
    <col min="5" max="5" width="16" style="13" customWidth="1"/>
    <col min="6" max="6" width="18.21875" style="21" customWidth="1"/>
    <col min="7" max="7" width="15.6640625" style="22"/>
  </cols>
  <sheetData>
    <row r="1" spans="1:7" ht="15" customHeight="1" thickBot="1" x14ac:dyDescent="0.35">
      <c r="A1" s="1" t="s">
        <v>337</v>
      </c>
      <c r="B1" s="2" t="s">
        <v>1</v>
      </c>
      <c r="C1" s="3" t="s">
        <v>338</v>
      </c>
      <c r="D1" s="3" t="s">
        <v>339</v>
      </c>
      <c r="E1" s="3" t="s">
        <v>340</v>
      </c>
      <c r="F1" s="14" t="s">
        <v>341</v>
      </c>
      <c r="G1" s="15" t="s">
        <v>342</v>
      </c>
    </row>
    <row r="2" spans="1:7" ht="15" customHeight="1" thickBot="1" x14ac:dyDescent="0.35">
      <c r="A2" s="7">
        <v>45446</v>
      </c>
      <c r="B2" s="6" t="s">
        <v>22</v>
      </c>
      <c r="C2" s="8">
        <v>4138</v>
      </c>
      <c r="D2" s="8">
        <v>361</v>
      </c>
      <c r="E2" s="8">
        <v>103777</v>
      </c>
      <c r="F2" s="16">
        <v>56.637790649999999</v>
      </c>
      <c r="G2" s="17">
        <v>23944</v>
      </c>
    </row>
    <row r="3" spans="1:7" ht="15" customHeight="1" thickBot="1" x14ac:dyDescent="0.35">
      <c r="A3" s="7">
        <v>45446</v>
      </c>
      <c r="B3" s="6" t="s">
        <v>40</v>
      </c>
      <c r="C3" s="8">
        <v>8693</v>
      </c>
      <c r="D3" s="8">
        <v>1261</v>
      </c>
      <c r="E3" s="8">
        <v>111209</v>
      </c>
      <c r="F3" s="16">
        <v>69.475492090000003</v>
      </c>
      <c r="G3" s="17">
        <v>29873</v>
      </c>
    </row>
    <row r="4" spans="1:7" ht="15" customHeight="1" thickBot="1" x14ac:dyDescent="0.35">
      <c r="A4" s="7">
        <v>45446</v>
      </c>
      <c r="B4" s="6" t="s">
        <v>13</v>
      </c>
      <c r="C4" s="8">
        <v>9264</v>
      </c>
      <c r="D4" s="8">
        <v>1141</v>
      </c>
      <c r="E4" s="8">
        <v>119332</v>
      </c>
      <c r="F4" s="16">
        <v>92.312204609999995</v>
      </c>
      <c r="G4" s="17">
        <v>50372</v>
      </c>
    </row>
    <row r="5" spans="1:7" ht="15" customHeight="1" thickBot="1" x14ac:dyDescent="0.35">
      <c r="A5" s="7">
        <v>45446</v>
      </c>
      <c r="B5" s="6" t="s">
        <v>13</v>
      </c>
      <c r="C5" s="8">
        <v>8842</v>
      </c>
      <c r="D5" s="8">
        <v>971</v>
      </c>
      <c r="E5" s="8">
        <v>127203</v>
      </c>
      <c r="F5" s="16">
        <v>16.351815599999998</v>
      </c>
      <c r="G5" s="17">
        <v>33928</v>
      </c>
    </row>
    <row r="6" spans="1:7" ht="15" customHeight="1" thickBot="1" x14ac:dyDescent="0.35">
      <c r="A6" s="7">
        <v>45453</v>
      </c>
      <c r="B6" s="6" t="s">
        <v>22</v>
      </c>
      <c r="C6" s="8">
        <v>7721</v>
      </c>
      <c r="D6" s="8">
        <v>506</v>
      </c>
      <c r="E6" s="8">
        <v>134418</v>
      </c>
      <c r="F6" s="16">
        <v>35.577824399999997</v>
      </c>
      <c r="G6" s="17">
        <v>25379</v>
      </c>
    </row>
    <row r="7" spans="1:7" ht="15" customHeight="1" thickBot="1" x14ac:dyDescent="0.35">
      <c r="A7" s="7">
        <v>45453</v>
      </c>
      <c r="B7" s="6" t="s">
        <v>13</v>
      </c>
      <c r="C7" s="8">
        <v>8002</v>
      </c>
      <c r="D7" s="8">
        <v>524</v>
      </c>
      <c r="E7" s="8">
        <v>141896</v>
      </c>
      <c r="F7" s="16">
        <v>52.0648926</v>
      </c>
      <c r="G7" s="17">
        <v>46751</v>
      </c>
    </row>
    <row r="8" spans="1:7" ht="15" customHeight="1" thickBot="1" x14ac:dyDescent="0.35">
      <c r="A8" s="7">
        <v>45453</v>
      </c>
      <c r="B8" s="6" t="s">
        <v>40</v>
      </c>
      <c r="C8" s="8">
        <v>5225</v>
      </c>
      <c r="D8" s="8">
        <v>291</v>
      </c>
      <c r="E8" s="8">
        <v>146830</v>
      </c>
      <c r="F8" s="16">
        <v>19.551862700000001</v>
      </c>
      <c r="G8" s="17">
        <v>44546</v>
      </c>
    </row>
    <row r="9" spans="1:7" ht="15" customHeight="1" thickBot="1" x14ac:dyDescent="0.35">
      <c r="A9" s="7">
        <v>45453</v>
      </c>
      <c r="B9" s="6" t="s">
        <v>40</v>
      </c>
      <c r="C9" s="8">
        <v>3978</v>
      </c>
      <c r="D9" s="8">
        <v>543</v>
      </c>
      <c r="E9" s="8">
        <v>150265</v>
      </c>
      <c r="F9" s="16">
        <v>49.159817660000002</v>
      </c>
      <c r="G9" s="17">
        <v>34286</v>
      </c>
    </row>
    <row r="10" spans="1:7" ht="15" customHeight="1" thickBot="1" x14ac:dyDescent="0.35">
      <c r="A10" s="7">
        <v>45460</v>
      </c>
      <c r="B10" s="6" t="s">
        <v>22</v>
      </c>
      <c r="C10" s="8">
        <v>8373</v>
      </c>
      <c r="D10" s="8">
        <v>921</v>
      </c>
      <c r="E10" s="8">
        <v>157717</v>
      </c>
      <c r="F10" s="16">
        <v>12.226329440000001</v>
      </c>
      <c r="G10" s="17">
        <v>15110</v>
      </c>
    </row>
    <row r="11" spans="1:7" ht="15" customHeight="1" thickBot="1" x14ac:dyDescent="0.35">
      <c r="A11" s="7">
        <v>45460</v>
      </c>
      <c r="B11" s="6" t="s">
        <v>40</v>
      </c>
      <c r="C11" s="8">
        <v>6907</v>
      </c>
      <c r="D11" s="8">
        <v>834</v>
      </c>
      <c r="E11" s="8">
        <v>163790</v>
      </c>
      <c r="F11" s="16">
        <v>54.158984060000002</v>
      </c>
      <c r="G11" s="17">
        <v>22087</v>
      </c>
    </row>
    <row r="12" spans="1:7" ht="15" customHeight="1" thickBot="1" x14ac:dyDescent="0.35">
      <c r="A12" s="7">
        <v>45460</v>
      </c>
      <c r="B12" s="6" t="s">
        <v>18</v>
      </c>
      <c r="C12" s="8">
        <v>7097</v>
      </c>
      <c r="D12" s="8">
        <v>369</v>
      </c>
      <c r="E12" s="8">
        <v>170518</v>
      </c>
      <c r="F12" s="16">
        <v>9.2506362959999997</v>
      </c>
      <c r="G12" s="17">
        <v>33762</v>
      </c>
    </row>
    <row r="13" spans="1:7" ht="15" customHeight="1" thickBot="1" x14ac:dyDescent="0.35">
      <c r="A13" s="7">
        <v>45460</v>
      </c>
      <c r="B13" s="6" t="s">
        <v>22</v>
      </c>
      <c r="C13" s="8">
        <v>6656</v>
      </c>
      <c r="D13" s="8">
        <v>978</v>
      </c>
      <c r="E13" s="8">
        <v>176196</v>
      </c>
      <c r="F13" s="16">
        <v>60.425889349999999</v>
      </c>
      <c r="G13" s="17">
        <v>27081</v>
      </c>
    </row>
    <row r="14" spans="1:7" ht="15" customHeight="1" thickBot="1" x14ac:dyDescent="0.35">
      <c r="A14" s="7">
        <v>45467</v>
      </c>
      <c r="B14" s="6" t="s">
        <v>40</v>
      </c>
      <c r="C14" s="8">
        <v>9984</v>
      </c>
      <c r="D14" s="8">
        <v>1330</v>
      </c>
      <c r="E14" s="8">
        <v>184850</v>
      </c>
      <c r="F14" s="16">
        <v>57.524479309999997</v>
      </c>
      <c r="G14" s="17">
        <v>44947</v>
      </c>
    </row>
    <row r="15" spans="1:7" ht="15" customHeight="1" thickBot="1" x14ac:dyDescent="0.35">
      <c r="A15" s="7">
        <v>45467</v>
      </c>
      <c r="B15" s="6" t="s">
        <v>22</v>
      </c>
      <c r="C15" s="8">
        <v>5259</v>
      </c>
      <c r="D15" s="8">
        <v>374</v>
      </c>
      <c r="E15" s="8">
        <v>189735</v>
      </c>
      <c r="F15" s="16">
        <v>14.8275226</v>
      </c>
      <c r="G15" s="17">
        <v>19596</v>
      </c>
    </row>
    <row r="16" spans="1:7" ht="15" customHeight="1" thickBot="1" x14ac:dyDescent="0.35">
      <c r="A16" s="7">
        <v>45467</v>
      </c>
      <c r="B16" s="6" t="s">
        <v>13</v>
      </c>
      <c r="C16" s="8">
        <v>9286</v>
      </c>
      <c r="D16" s="8">
        <v>633</v>
      </c>
      <c r="E16" s="8">
        <v>198388</v>
      </c>
      <c r="F16" s="16">
        <v>5.4343004620000004</v>
      </c>
      <c r="G16" s="17">
        <v>48019</v>
      </c>
    </row>
    <row r="17" spans="1:7" ht="15" customHeight="1" thickBot="1" x14ac:dyDescent="0.35">
      <c r="A17" s="7">
        <v>45467</v>
      </c>
      <c r="B17" s="6" t="s">
        <v>40</v>
      </c>
      <c r="C17" s="8">
        <v>6901</v>
      </c>
      <c r="D17" s="8">
        <v>471</v>
      </c>
      <c r="E17" s="8">
        <v>204818</v>
      </c>
      <c r="F17" s="16">
        <v>60.827661630000001</v>
      </c>
      <c r="G17" s="17">
        <v>52003</v>
      </c>
    </row>
    <row r="18" spans="1:7" ht="15" customHeight="1" thickBot="1" x14ac:dyDescent="0.35">
      <c r="A18" s="7">
        <v>45474</v>
      </c>
      <c r="B18" s="6" t="s">
        <v>18</v>
      </c>
      <c r="C18" s="8">
        <v>5917</v>
      </c>
      <c r="D18" s="8">
        <v>475</v>
      </c>
      <c r="E18" s="8">
        <v>210260</v>
      </c>
      <c r="F18" s="16">
        <v>17.89403596</v>
      </c>
      <c r="G18" s="17">
        <v>28313</v>
      </c>
    </row>
    <row r="19" spans="1:7" ht="15" customHeight="1" thickBot="1" x14ac:dyDescent="0.35">
      <c r="A19" s="7">
        <v>45474</v>
      </c>
      <c r="B19" s="6" t="s">
        <v>40</v>
      </c>
      <c r="C19" s="8">
        <v>9429</v>
      </c>
      <c r="D19" s="8">
        <v>966</v>
      </c>
      <c r="E19" s="8">
        <v>218723</v>
      </c>
      <c r="F19" s="16">
        <v>7.6914636319999996</v>
      </c>
      <c r="G19" s="17">
        <v>57639</v>
      </c>
    </row>
    <row r="20" spans="1:7" ht="15" customHeight="1" thickBot="1" x14ac:dyDescent="0.35">
      <c r="A20" s="7">
        <v>45474</v>
      </c>
      <c r="B20" s="6" t="s">
        <v>22</v>
      </c>
      <c r="C20" s="8">
        <v>3530</v>
      </c>
      <c r="D20" s="8">
        <v>328</v>
      </c>
      <c r="E20" s="8">
        <v>221925</v>
      </c>
      <c r="F20" s="16">
        <v>12.83721978</v>
      </c>
      <c r="G20" s="17">
        <v>11013</v>
      </c>
    </row>
    <row r="21" spans="1:7" ht="15" customHeight="1" thickBot="1" x14ac:dyDescent="0.35">
      <c r="A21" s="7">
        <v>45474</v>
      </c>
      <c r="B21" s="6" t="s">
        <v>22</v>
      </c>
      <c r="C21" s="8">
        <v>2960</v>
      </c>
      <c r="D21" s="8">
        <v>234</v>
      </c>
      <c r="E21" s="8">
        <v>224651</v>
      </c>
      <c r="F21" s="16">
        <v>17.412786950000001</v>
      </c>
      <c r="G21" s="17">
        <v>59378</v>
      </c>
    </row>
    <row r="22" spans="1:7" ht="15" customHeight="1" thickBot="1" x14ac:dyDescent="0.35">
      <c r="A22" s="7">
        <v>45481</v>
      </c>
      <c r="B22" s="6" t="s">
        <v>40</v>
      </c>
      <c r="C22" s="8">
        <v>8045</v>
      </c>
      <c r="D22" s="8">
        <v>894</v>
      </c>
      <c r="E22" s="8">
        <v>231802</v>
      </c>
      <c r="F22" s="16">
        <v>47.634187799999999</v>
      </c>
      <c r="G22" s="17">
        <v>33705</v>
      </c>
    </row>
    <row r="23" spans="1:7" ht="15" customHeight="1" thickBot="1" x14ac:dyDescent="0.35">
      <c r="A23" s="7">
        <v>45481</v>
      </c>
      <c r="B23" s="6" t="s">
        <v>18</v>
      </c>
      <c r="C23" s="8">
        <v>2048</v>
      </c>
      <c r="D23" s="8">
        <v>130</v>
      </c>
      <c r="E23" s="8">
        <v>233720</v>
      </c>
      <c r="F23" s="16">
        <v>39.284614070000003</v>
      </c>
      <c r="G23" s="17">
        <v>11828</v>
      </c>
    </row>
    <row r="24" spans="1:7" ht="15" customHeight="1" thickBot="1" x14ac:dyDescent="0.35">
      <c r="A24" s="7">
        <v>45481</v>
      </c>
      <c r="B24" s="6" t="s">
        <v>18</v>
      </c>
      <c r="C24" s="8">
        <v>6772</v>
      </c>
      <c r="D24" s="8">
        <v>536</v>
      </c>
      <c r="E24" s="8">
        <v>239956</v>
      </c>
      <c r="F24" s="16">
        <v>9.8205504339999994</v>
      </c>
      <c r="G24" s="17">
        <v>17909</v>
      </c>
    </row>
    <row r="25" spans="1:7" ht="15" customHeight="1" thickBot="1" x14ac:dyDescent="0.35">
      <c r="A25" s="7">
        <v>45481</v>
      </c>
      <c r="B25" s="6" t="s">
        <v>18</v>
      </c>
      <c r="C25" s="8">
        <v>3529</v>
      </c>
      <c r="D25" s="8">
        <v>305</v>
      </c>
      <c r="E25" s="8">
        <v>243180</v>
      </c>
      <c r="F25" s="16">
        <v>41.606628829999998</v>
      </c>
      <c r="G25" s="17">
        <v>48356</v>
      </c>
    </row>
    <row r="26" spans="1:7" ht="15" customHeight="1" thickBot="1" x14ac:dyDescent="0.35">
      <c r="A26" s="7">
        <v>45488</v>
      </c>
      <c r="B26" s="6" t="s">
        <v>22</v>
      </c>
      <c r="C26" s="8">
        <v>3964</v>
      </c>
      <c r="D26" s="8">
        <v>378</v>
      </c>
      <c r="E26" s="8">
        <v>246766</v>
      </c>
      <c r="F26" s="16">
        <v>13.63558999</v>
      </c>
      <c r="G26" s="17">
        <v>23109</v>
      </c>
    </row>
    <row r="27" spans="1:7" ht="15" customHeight="1" thickBot="1" x14ac:dyDescent="0.35">
      <c r="A27" s="7">
        <v>45488</v>
      </c>
      <c r="B27" s="6" t="s">
        <v>40</v>
      </c>
      <c r="C27" s="8">
        <v>8137</v>
      </c>
      <c r="D27" s="8">
        <v>1045</v>
      </c>
      <c r="E27" s="8">
        <v>253858</v>
      </c>
      <c r="F27" s="16">
        <v>20.472468859999999</v>
      </c>
      <c r="G27" s="17">
        <v>12023</v>
      </c>
    </row>
    <row r="28" spans="1:7" ht="15" customHeight="1" thickBot="1" x14ac:dyDescent="0.35">
      <c r="A28" s="7">
        <v>45488</v>
      </c>
      <c r="B28" s="6" t="s">
        <v>13</v>
      </c>
      <c r="C28" s="8">
        <v>1963</v>
      </c>
      <c r="D28" s="8">
        <v>137</v>
      </c>
      <c r="E28" s="8">
        <v>255684</v>
      </c>
      <c r="F28" s="16">
        <v>11.20836658</v>
      </c>
      <c r="G28" s="17">
        <v>24537</v>
      </c>
    </row>
    <row r="29" spans="1:7" ht="15" customHeight="1" thickBot="1" x14ac:dyDescent="0.35">
      <c r="A29" s="7">
        <v>45488</v>
      </c>
      <c r="B29" s="6" t="s">
        <v>22</v>
      </c>
      <c r="C29" s="8">
        <v>1536</v>
      </c>
      <c r="D29" s="8">
        <v>155</v>
      </c>
      <c r="E29" s="8">
        <v>257065</v>
      </c>
      <c r="F29" s="16">
        <v>12.1576255</v>
      </c>
      <c r="G29" s="17">
        <v>36661</v>
      </c>
    </row>
    <row r="30" spans="1:7" ht="15" customHeight="1" thickBot="1" x14ac:dyDescent="0.35">
      <c r="A30" s="7">
        <v>45495</v>
      </c>
      <c r="B30" s="6" t="s">
        <v>18</v>
      </c>
      <c r="C30" s="8">
        <v>8340</v>
      </c>
      <c r="D30" s="8">
        <v>911</v>
      </c>
      <c r="E30" s="8">
        <v>264494</v>
      </c>
      <c r="F30" s="16">
        <v>37.302925590000001</v>
      </c>
      <c r="G30" s="17">
        <v>48659</v>
      </c>
    </row>
    <row r="31" spans="1:7" ht="15" customHeight="1" thickBot="1" x14ac:dyDescent="0.35">
      <c r="A31" s="7">
        <v>45495</v>
      </c>
      <c r="B31" s="6" t="s">
        <v>40</v>
      </c>
      <c r="C31" s="8">
        <v>8179</v>
      </c>
      <c r="D31" s="8">
        <v>446</v>
      </c>
      <c r="E31" s="8">
        <v>272227</v>
      </c>
      <c r="F31" s="16">
        <v>41.821714970000002</v>
      </c>
      <c r="G31" s="17">
        <v>43848</v>
      </c>
    </row>
    <row r="32" spans="1:7" ht="15" customHeight="1" thickBot="1" x14ac:dyDescent="0.35">
      <c r="A32" s="7">
        <v>45495</v>
      </c>
      <c r="B32" s="6" t="s">
        <v>18</v>
      </c>
      <c r="C32" s="8">
        <v>8967</v>
      </c>
      <c r="D32" s="8">
        <v>993</v>
      </c>
      <c r="E32" s="8">
        <v>280201</v>
      </c>
      <c r="F32" s="16">
        <v>52.792102810000003</v>
      </c>
      <c r="G32" s="17">
        <v>47804</v>
      </c>
    </row>
    <row r="33" spans="1:7" ht="15" customHeight="1" thickBot="1" x14ac:dyDescent="0.35">
      <c r="A33" s="7">
        <v>45495</v>
      </c>
      <c r="B33" s="6" t="s">
        <v>13</v>
      </c>
      <c r="C33" s="8">
        <v>9734</v>
      </c>
      <c r="D33" s="8">
        <v>652</v>
      </c>
      <c r="E33" s="8">
        <v>289283</v>
      </c>
      <c r="F33" s="16">
        <v>49.647922620000003</v>
      </c>
      <c r="G33" s="17">
        <v>25379</v>
      </c>
    </row>
    <row r="34" spans="1:7" ht="15" customHeight="1" thickBot="1" x14ac:dyDescent="0.35">
      <c r="A34" s="7">
        <v>45502</v>
      </c>
      <c r="B34" s="6" t="s">
        <v>18</v>
      </c>
      <c r="C34" s="8">
        <v>1845</v>
      </c>
      <c r="D34" s="8">
        <v>104</v>
      </c>
      <c r="E34" s="8">
        <v>291024</v>
      </c>
      <c r="F34" s="16">
        <v>28.158158780000001</v>
      </c>
      <c r="G34" s="17">
        <v>37766</v>
      </c>
    </row>
    <row r="35" spans="1:7" ht="15" customHeight="1" thickBot="1" x14ac:dyDescent="0.35">
      <c r="A35" s="7">
        <v>45502</v>
      </c>
      <c r="B35" s="6" t="s">
        <v>18</v>
      </c>
      <c r="C35" s="8">
        <v>6777</v>
      </c>
      <c r="D35" s="8">
        <v>981</v>
      </c>
      <c r="E35" s="8">
        <v>296820</v>
      </c>
      <c r="F35" s="16">
        <v>23.920557909999999</v>
      </c>
      <c r="G35" s="17">
        <v>53590</v>
      </c>
    </row>
    <row r="36" spans="1:7" ht="15" customHeight="1" thickBot="1" x14ac:dyDescent="0.35">
      <c r="A36" s="7">
        <v>45502</v>
      </c>
      <c r="B36" s="6" t="s">
        <v>13</v>
      </c>
      <c r="C36" s="8">
        <v>4036</v>
      </c>
      <c r="D36" s="8">
        <v>591</v>
      </c>
      <c r="E36" s="8">
        <v>300265</v>
      </c>
      <c r="F36" s="16">
        <v>44.21927298</v>
      </c>
      <c r="G36" s="17">
        <v>12563</v>
      </c>
    </row>
    <row r="37" spans="1:7" ht="15" customHeight="1" thickBot="1" x14ac:dyDescent="0.35">
      <c r="A37" s="7">
        <v>45502</v>
      </c>
      <c r="B37" s="6" t="s">
        <v>40</v>
      </c>
      <c r="C37" s="8">
        <v>6947</v>
      </c>
      <c r="D37" s="8">
        <v>908</v>
      </c>
      <c r="E37" s="8">
        <v>306304</v>
      </c>
      <c r="F37" s="16">
        <v>14.11767394</v>
      </c>
      <c r="G37" s="17">
        <v>46060</v>
      </c>
    </row>
    <row r="38" spans="1:7" ht="15" customHeight="1" thickBot="1" x14ac:dyDescent="0.35">
      <c r="A38" s="7">
        <v>45509</v>
      </c>
      <c r="B38" s="6" t="s">
        <v>22</v>
      </c>
      <c r="C38" s="8">
        <v>3494</v>
      </c>
      <c r="D38" s="8">
        <v>281</v>
      </c>
      <c r="E38" s="8">
        <v>309517</v>
      </c>
      <c r="F38" s="16">
        <v>27.765518530000001</v>
      </c>
      <c r="G38" s="17">
        <v>39197</v>
      </c>
    </row>
    <row r="39" spans="1:7" ht="15" customHeight="1" thickBot="1" x14ac:dyDescent="0.35">
      <c r="A39" s="7">
        <v>45509</v>
      </c>
      <c r="B39" s="6" t="s">
        <v>40</v>
      </c>
      <c r="C39" s="8">
        <v>3719</v>
      </c>
      <c r="D39" s="8">
        <v>222</v>
      </c>
      <c r="E39" s="8">
        <v>313014</v>
      </c>
      <c r="F39" s="16">
        <v>21.669318310000001</v>
      </c>
      <c r="G39" s="17">
        <v>13586</v>
      </c>
    </row>
    <row r="40" spans="1:7" ht="15" customHeight="1" thickBot="1" x14ac:dyDescent="0.35">
      <c r="A40" s="7">
        <v>45509</v>
      </c>
      <c r="B40" s="6" t="s">
        <v>13</v>
      </c>
      <c r="C40" s="8">
        <v>2884</v>
      </c>
      <c r="D40" s="8">
        <v>341</v>
      </c>
      <c r="E40" s="8">
        <v>315557</v>
      </c>
      <c r="F40" s="16">
        <v>46.999749649999998</v>
      </c>
      <c r="G40" s="17">
        <v>26087</v>
      </c>
    </row>
    <row r="41" spans="1:7" ht="15" customHeight="1" thickBot="1" x14ac:dyDescent="0.35">
      <c r="A41" s="7">
        <v>45509</v>
      </c>
      <c r="B41" s="6" t="s">
        <v>18</v>
      </c>
      <c r="C41" s="8">
        <v>5349</v>
      </c>
      <c r="D41" s="8">
        <v>502</v>
      </c>
      <c r="E41" s="8">
        <v>320404</v>
      </c>
      <c r="F41" s="16">
        <v>5.2152906950000002</v>
      </c>
      <c r="G41" s="17">
        <v>58868</v>
      </c>
    </row>
    <row r="42" spans="1:7" ht="15" customHeight="1" thickBot="1" x14ac:dyDescent="0.35">
      <c r="A42" s="7">
        <v>45516</v>
      </c>
      <c r="B42" s="6" t="s">
        <v>40</v>
      </c>
      <c r="C42" s="8">
        <v>6179</v>
      </c>
      <c r="D42" s="8">
        <v>384</v>
      </c>
      <c r="E42" s="8">
        <v>326199</v>
      </c>
      <c r="F42" s="16">
        <v>14.71218489</v>
      </c>
      <c r="G42" s="17">
        <v>33225</v>
      </c>
    </row>
    <row r="43" spans="1:7" ht="15" customHeight="1" thickBot="1" x14ac:dyDescent="0.35">
      <c r="A43" s="7">
        <v>45516</v>
      </c>
      <c r="B43" s="6" t="s">
        <v>22</v>
      </c>
      <c r="C43" s="8">
        <v>7610</v>
      </c>
      <c r="D43" s="8">
        <v>757</v>
      </c>
      <c r="E43" s="8">
        <v>333052</v>
      </c>
      <c r="F43" s="16">
        <v>44.450416150000002</v>
      </c>
      <c r="G43" s="17">
        <v>39750</v>
      </c>
    </row>
    <row r="44" spans="1:7" ht="15" customHeight="1" thickBot="1" x14ac:dyDescent="0.35">
      <c r="A44" s="7">
        <v>45516</v>
      </c>
      <c r="B44" s="6" t="s">
        <v>13</v>
      </c>
      <c r="C44" s="8">
        <v>7430</v>
      </c>
      <c r="D44" s="8">
        <v>397</v>
      </c>
      <c r="E44" s="8">
        <v>340085</v>
      </c>
      <c r="F44" s="16">
        <v>28.065042559999998</v>
      </c>
      <c r="G44" s="17">
        <v>16643</v>
      </c>
    </row>
    <row r="45" spans="1:7" ht="15" customHeight="1" thickBot="1" x14ac:dyDescent="0.35">
      <c r="A45" s="7">
        <v>45516</v>
      </c>
      <c r="B45" s="6" t="s">
        <v>40</v>
      </c>
      <c r="C45" s="8">
        <v>8154</v>
      </c>
      <c r="D45" s="8">
        <v>1149</v>
      </c>
      <c r="E45" s="8">
        <v>347090</v>
      </c>
      <c r="F45" s="16">
        <v>26.003918290000001</v>
      </c>
      <c r="G45" s="17">
        <v>37523</v>
      </c>
    </row>
    <row r="46" spans="1:7" ht="15" customHeight="1" thickBot="1" x14ac:dyDescent="0.35">
      <c r="A46" s="7">
        <v>45523</v>
      </c>
      <c r="B46" s="6" t="s">
        <v>22</v>
      </c>
      <c r="C46" s="8">
        <v>7488</v>
      </c>
      <c r="D46" s="8">
        <v>568</v>
      </c>
      <c r="E46" s="8">
        <v>354010</v>
      </c>
      <c r="F46" s="16">
        <v>13.4773029</v>
      </c>
      <c r="G46" s="17">
        <v>46727</v>
      </c>
    </row>
    <row r="47" spans="1:7" ht="15" customHeight="1" thickBot="1" x14ac:dyDescent="0.35">
      <c r="A47" s="7">
        <v>45523</v>
      </c>
      <c r="B47" s="6" t="s">
        <v>13</v>
      </c>
      <c r="C47" s="8">
        <v>5737</v>
      </c>
      <c r="D47" s="8">
        <v>666</v>
      </c>
      <c r="E47" s="8">
        <v>359081</v>
      </c>
      <c r="F47" s="16">
        <v>4.6034181700000003</v>
      </c>
      <c r="G47" s="17">
        <v>21005</v>
      </c>
    </row>
    <row r="48" spans="1:7" ht="15" customHeight="1" thickBot="1" x14ac:dyDescent="0.35">
      <c r="A48" s="7">
        <v>45523</v>
      </c>
      <c r="B48" s="6" t="s">
        <v>22</v>
      </c>
      <c r="C48" s="8">
        <v>7525</v>
      </c>
      <c r="D48" s="8">
        <v>610</v>
      </c>
      <c r="E48" s="8">
        <v>365996</v>
      </c>
      <c r="F48" s="16">
        <v>5.7694619610000002</v>
      </c>
      <c r="G48" s="17">
        <v>53543</v>
      </c>
    </row>
    <row r="49" spans="1:7" ht="15" customHeight="1" thickBot="1" x14ac:dyDescent="0.35">
      <c r="A49" s="7">
        <v>45523</v>
      </c>
      <c r="B49" s="6" t="s">
        <v>13</v>
      </c>
      <c r="C49" s="8">
        <v>4850</v>
      </c>
      <c r="D49" s="8">
        <v>494</v>
      </c>
      <c r="E49" s="8">
        <v>370352</v>
      </c>
      <c r="F49" s="16">
        <v>20.46539508</v>
      </c>
      <c r="G49" s="17">
        <v>10161</v>
      </c>
    </row>
    <row r="50" spans="1:7" ht="15" customHeight="1" thickBot="1" x14ac:dyDescent="0.35">
      <c r="A50" s="7">
        <v>45530</v>
      </c>
      <c r="B50" s="6" t="s">
        <v>18</v>
      </c>
      <c r="C50" s="8">
        <v>1689</v>
      </c>
      <c r="D50" s="8">
        <v>176</v>
      </c>
      <c r="E50" s="8">
        <v>371865</v>
      </c>
      <c r="F50" s="16">
        <v>38.012181839999997</v>
      </c>
      <c r="G50" s="17">
        <v>26029</v>
      </c>
    </row>
    <row r="51" spans="1:7" ht="15" customHeight="1" thickBot="1" x14ac:dyDescent="0.35">
      <c r="A51" s="7">
        <v>45530</v>
      </c>
      <c r="B51" s="6" t="s">
        <v>40</v>
      </c>
      <c r="C51" s="8">
        <v>6175</v>
      </c>
      <c r="D51" s="8">
        <v>422</v>
      </c>
      <c r="E51" s="8">
        <v>377618</v>
      </c>
      <c r="F51" s="16">
        <v>37.861012979999998</v>
      </c>
      <c r="G51" s="17">
        <v>59745</v>
      </c>
    </row>
    <row r="52" spans="1:7" ht="15" customHeight="1" thickBot="1" x14ac:dyDescent="0.35">
      <c r="A52" s="7">
        <v>45530</v>
      </c>
      <c r="B52" s="6" t="s">
        <v>22</v>
      </c>
      <c r="C52" s="8">
        <v>9648</v>
      </c>
      <c r="D52" s="8">
        <v>1417</v>
      </c>
      <c r="E52" s="8">
        <v>385849</v>
      </c>
      <c r="F52" s="16">
        <v>3.6633501709999998</v>
      </c>
      <c r="G52" s="17">
        <v>24226</v>
      </c>
    </row>
    <row r="53" spans="1:7" ht="15" customHeight="1" thickBot="1" x14ac:dyDescent="0.35">
      <c r="A53" s="7">
        <v>45530</v>
      </c>
      <c r="B53" s="6" t="s">
        <v>13</v>
      </c>
      <c r="C53" s="8">
        <v>6078</v>
      </c>
      <c r="D53" s="8">
        <v>775</v>
      </c>
      <c r="E53" s="8">
        <v>391152</v>
      </c>
      <c r="F53" s="16">
        <v>37.760512540000001</v>
      </c>
      <c r="G53" s="17">
        <v>38731</v>
      </c>
    </row>
    <row r="54" spans="1:7" ht="15" customHeight="1" thickBot="1" x14ac:dyDescent="0.35">
      <c r="A54" s="7">
        <v>45537</v>
      </c>
      <c r="B54" s="6" t="s">
        <v>22</v>
      </c>
      <c r="C54" s="8">
        <v>6448</v>
      </c>
      <c r="D54" s="8">
        <v>928</v>
      </c>
      <c r="E54" s="8">
        <v>396672</v>
      </c>
      <c r="F54" s="16">
        <v>30.11858664</v>
      </c>
      <c r="G54" s="17">
        <v>53922</v>
      </c>
    </row>
    <row r="55" spans="1:7" ht="15" customHeight="1" thickBot="1" x14ac:dyDescent="0.35">
      <c r="A55" s="7">
        <v>45537</v>
      </c>
      <c r="B55" s="6" t="s">
        <v>22</v>
      </c>
      <c r="C55" s="8">
        <v>2179</v>
      </c>
      <c r="D55" s="8">
        <v>303</v>
      </c>
      <c r="E55" s="8">
        <v>398548</v>
      </c>
      <c r="F55" s="16">
        <v>33.909842730000001</v>
      </c>
      <c r="G55" s="17">
        <v>54848</v>
      </c>
    </row>
    <row r="56" spans="1:7" ht="15" customHeight="1" thickBot="1" x14ac:dyDescent="0.35">
      <c r="A56" s="7">
        <v>45537</v>
      </c>
      <c r="B56" s="6" t="s">
        <v>40</v>
      </c>
      <c r="C56" s="8">
        <v>7406</v>
      </c>
      <c r="D56" s="8">
        <v>813</v>
      </c>
      <c r="E56" s="8">
        <v>405141</v>
      </c>
      <c r="F56" s="16">
        <v>24.45741112</v>
      </c>
      <c r="G56" s="17">
        <v>13390</v>
      </c>
    </row>
    <row r="57" spans="1:7" ht="15" customHeight="1" thickBot="1" x14ac:dyDescent="0.35">
      <c r="A57" s="7">
        <v>45537</v>
      </c>
      <c r="B57" s="6" t="s">
        <v>18</v>
      </c>
      <c r="C57" s="8">
        <v>9591</v>
      </c>
      <c r="D57" s="8">
        <v>1363</v>
      </c>
      <c r="E57" s="8">
        <v>413369</v>
      </c>
      <c r="F57" s="16">
        <v>10.49425574</v>
      </c>
      <c r="G57" s="17">
        <v>15997</v>
      </c>
    </row>
    <row r="58" spans="1:7" ht="15" customHeight="1" thickBot="1" x14ac:dyDescent="0.35">
      <c r="A58" s="7">
        <v>45544</v>
      </c>
      <c r="B58" s="6" t="s">
        <v>22</v>
      </c>
      <c r="C58" s="8">
        <v>7907</v>
      </c>
      <c r="D58" s="8">
        <v>465</v>
      </c>
      <c r="E58" s="8">
        <v>420811</v>
      </c>
      <c r="F58" s="16">
        <v>33.257448119999999</v>
      </c>
      <c r="G58" s="17">
        <v>22693</v>
      </c>
    </row>
    <row r="59" spans="1:7" ht="15" customHeight="1" thickBot="1" x14ac:dyDescent="0.35">
      <c r="A59" s="7">
        <v>45544</v>
      </c>
      <c r="B59" s="6" t="s">
        <v>13</v>
      </c>
      <c r="C59" s="8">
        <v>9800</v>
      </c>
      <c r="D59" s="8">
        <v>682</v>
      </c>
      <c r="E59" s="8">
        <v>429929</v>
      </c>
      <c r="F59" s="16">
        <v>6.2966210699999996</v>
      </c>
      <c r="G59" s="17">
        <v>59815</v>
      </c>
    </row>
    <row r="60" spans="1:7" ht="15" customHeight="1" thickBot="1" x14ac:dyDescent="0.35">
      <c r="A60" s="7">
        <v>45544</v>
      </c>
      <c r="B60" s="6" t="s">
        <v>13</v>
      </c>
      <c r="C60" s="8">
        <v>2638</v>
      </c>
      <c r="D60" s="8">
        <v>143</v>
      </c>
      <c r="E60" s="8">
        <v>432424</v>
      </c>
      <c r="F60" s="16">
        <v>6.9547481180000004</v>
      </c>
      <c r="G60" s="17">
        <v>52092</v>
      </c>
    </row>
    <row r="61" spans="1:7" ht="15" customHeight="1" thickBot="1" x14ac:dyDescent="0.35">
      <c r="A61" s="7">
        <v>45544</v>
      </c>
      <c r="B61" s="6" t="s">
        <v>18</v>
      </c>
      <c r="C61" s="8">
        <v>6671</v>
      </c>
      <c r="D61" s="8">
        <v>550</v>
      </c>
      <c r="E61" s="8">
        <v>438545</v>
      </c>
      <c r="F61" s="16">
        <v>17.750287879999998</v>
      </c>
      <c r="G61" s="17">
        <v>10541</v>
      </c>
    </row>
    <row r="62" spans="1:7" ht="15" customHeight="1" thickBot="1" x14ac:dyDescent="0.35">
      <c r="A62" s="7">
        <v>45551</v>
      </c>
      <c r="B62" s="6" t="s">
        <v>13</v>
      </c>
      <c r="C62" s="8">
        <v>7928</v>
      </c>
      <c r="D62" s="8">
        <v>704</v>
      </c>
      <c r="E62" s="8">
        <v>445769</v>
      </c>
      <c r="F62" s="16">
        <v>11.194362999999999</v>
      </c>
      <c r="G62" s="17">
        <v>31817</v>
      </c>
    </row>
    <row r="63" spans="1:7" ht="15" customHeight="1" thickBot="1" x14ac:dyDescent="0.35">
      <c r="A63" s="7">
        <v>45551</v>
      </c>
      <c r="B63" s="6" t="s">
        <v>18</v>
      </c>
      <c r="C63" s="8">
        <v>2382</v>
      </c>
      <c r="D63" s="8">
        <v>183</v>
      </c>
      <c r="E63" s="8">
        <v>447968</v>
      </c>
      <c r="F63" s="16">
        <v>4.7335970429999996</v>
      </c>
      <c r="G63" s="17">
        <v>47861</v>
      </c>
    </row>
    <row r="64" spans="1:7" ht="15" customHeight="1" thickBot="1" x14ac:dyDescent="0.35">
      <c r="A64" s="7">
        <v>45551</v>
      </c>
      <c r="B64" s="6" t="s">
        <v>13</v>
      </c>
      <c r="C64" s="8">
        <v>2403</v>
      </c>
      <c r="D64" s="8">
        <v>319</v>
      </c>
      <c r="E64" s="8">
        <v>450052</v>
      </c>
      <c r="F64" s="16">
        <v>29.921209099999999</v>
      </c>
      <c r="G64" s="17">
        <v>23428</v>
      </c>
    </row>
    <row r="65" spans="1:7" ht="15" customHeight="1" thickBot="1" x14ac:dyDescent="0.35">
      <c r="A65" s="7">
        <v>45551</v>
      </c>
      <c r="B65" s="6" t="s">
        <v>40</v>
      </c>
      <c r="C65" s="8">
        <v>4292</v>
      </c>
      <c r="D65" s="8">
        <v>367</v>
      </c>
      <c r="E65" s="8">
        <v>453977</v>
      </c>
      <c r="F65" s="16">
        <v>3.5037017289999999</v>
      </c>
      <c r="G65" s="17">
        <v>53934</v>
      </c>
    </row>
    <row r="66" spans="1:7" ht="15" customHeight="1" thickBot="1" x14ac:dyDescent="0.35">
      <c r="A66" s="7">
        <v>45558</v>
      </c>
      <c r="B66" s="6" t="s">
        <v>22</v>
      </c>
      <c r="C66" s="8">
        <v>1419</v>
      </c>
      <c r="D66" s="8">
        <v>110</v>
      </c>
      <c r="E66" s="8">
        <v>455286</v>
      </c>
      <c r="F66" s="16">
        <v>31.554451490000002</v>
      </c>
      <c r="G66" s="17">
        <v>58831</v>
      </c>
    </row>
    <row r="67" spans="1:7" ht="15" customHeight="1" thickBot="1" x14ac:dyDescent="0.35">
      <c r="A67" s="7">
        <v>45558</v>
      </c>
      <c r="B67" s="6" t="s">
        <v>40</v>
      </c>
      <c r="C67" s="8">
        <v>5517</v>
      </c>
      <c r="D67" s="8">
        <v>575</v>
      </c>
      <c r="E67" s="8">
        <v>460228</v>
      </c>
      <c r="F67" s="16">
        <v>29.458442340000001</v>
      </c>
      <c r="G67" s="17">
        <v>20258</v>
      </c>
    </row>
    <row r="68" spans="1:7" ht="15" customHeight="1" thickBot="1" x14ac:dyDescent="0.35">
      <c r="A68" s="7">
        <v>45558</v>
      </c>
      <c r="B68" s="6" t="s">
        <v>22</v>
      </c>
      <c r="C68" s="8">
        <v>4302</v>
      </c>
      <c r="D68" s="8">
        <v>275</v>
      </c>
      <c r="E68" s="8">
        <v>464255</v>
      </c>
      <c r="F68" s="16">
        <v>15.72131695</v>
      </c>
      <c r="G68" s="17">
        <v>26044</v>
      </c>
    </row>
    <row r="69" spans="1:7" ht="15" customHeight="1" thickBot="1" x14ac:dyDescent="0.35">
      <c r="A69" s="7">
        <v>45558</v>
      </c>
      <c r="B69" s="6" t="s">
        <v>22</v>
      </c>
      <c r="C69" s="8">
        <v>8857</v>
      </c>
      <c r="D69" s="8">
        <v>1153</v>
      </c>
      <c r="E69" s="8">
        <v>471959</v>
      </c>
      <c r="F69" s="16">
        <v>19.214592790000001</v>
      </c>
      <c r="G69" s="17">
        <v>39411</v>
      </c>
    </row>
    <row r="70" spans="1:7" ht="15" customHeight="1" thickBot="1" x14ac:dyDescent="0.35">
      <c r="A70" s="7">
        <v>45565</v>
      </c>
      <c r="B70" s="6" t="s">
        <v>22</v>
      </c>
      <c r="C70" s="8">
        <v>8870</v>
      </c>
      <c r="D70" s="8">
        <v>509</v>
      </c>
      <c r="E70" s="8">
        <v>480320</v>
      </c>
      <c r="F70" s="16">
        <v>25.077864760000001</v>
      </c>
      <c r="G70" s="17">
        <v>15469</v>
      </c>
    </row>
    <row r="71" spans="1:7" ht="15" customHeight="1" thickBot="1" x14ac:dyDescent="0.35">
      <c r="A71" s="7">
        <v>45565</v>
      </c>
      <c r="B71" s="6" t="s">
        <v>40</v>
      </c>
      <c r="C71" s="8">
        <v>6693</v>
      </c>
      <c r="D71" s="8">
        <v>995</v>
      </c>
      <c r="E71" s="8">
        <v>486018</v>
      </c>
      <c r="F71" s="16">
        <v>23.761877129999998</v>
      </c>
      <c r="G71" s="17">
        <v>38854</v>
      </c>
    </row>
    <row r="72" spans="1:7" ht="15" customHeight="1" thickBot="1" x14ac:dyDescent="0.35">
      <c r="A72" s="7">
        <v>45565</v>
      </c>
      <c r="B72" s="6" t="s">
        <v>22</v>
      </c>
      <c r="C72" s="8">
        <v>1767</v>
      </c>
      <c r="D72" s="8">
        <v>224</v>
      </c>
      <c r="E72" s="8">
        <v>487561</v>
      </c>
      <c r="F72" s="16">
        <v>13.20860364</v>
      </c>
      <c r="G72" s="17">
        <v>16256</v>
      </c>
    </row>
    <row r="73" spans="1:7" ht="15" customHeight="1" thickBot="1" x14ac:dyDescent="0.35">
      <c r="A73" s="7">
        <v>45565</v>
      </c>
      <c r="B73" s="6" t="s">
        <v>40</v>
      </c>
      <c r="C73" s="8">
        <v>3044</v>
      </c>
      <c r="D73" s="8">
        <v>212</v>
      </c>
      <c r="E73" s="8">
        <v>490393</v>
      </c>
      <c r="F73" s="16">
        <v>8.5343795690000004</v>
      </c>
      <c r="G73" s="17">
        <v>20720</v>
      </c>
    </row>
    <row r="74" spans="1:7" ht="15" customHeight="1" thickBot="1" x14ac:dyDescent="0.35">
      <c r="A74" s="7">
        <v>45572</v>
      </c>
      <c r="B74" s="6" t="s">
        <v>18</v>
      </c>
      <c r="C74" s="8">
        <v>2549</v>
      </c>
      <c r="D74" s="8">
        <v>128</v>
      </c>
      <c r="E74" s="8">
        <v>492814</v>
      </c>
      <c r="F74" s="16">
        <v>12.73421615</v>
      </c>
      <c r="G74" s="17">
        <v>43937</v>
      </c>
    </row>
    <row r="75" spans="1:7" ht="15" customHeight="1" thickBot="1" x14ac:dyDescent="0.35">
      <c r="A75" s="7">
        <v>45572</v>
      </c>
      <c r="B75" s="6" t="s">
        <v>13</v>
      </c>
      <c r="C75" s="8">
        <v>7140</v>
      </c>
      <c r="D75" s="8">
        <v>939</v>
      </c>
      <c r="E75" s="8">
        <v>499015</v>
      </c>
      <c r="F75" s="16">
        <v>25.120888149999999</v>
      </c>
      <c r="G75" s="17">
        <v>43598</v>
      </c>
    </row>
    <row r="76" spans="1:7" ht="15" customHeight="1" thickBot="1" x14ac:dyDescent="0.35">
      <c r="A76" s="7">
        <v>45572</v>
      </c>
      <c r="B76" s="6" t="s">
        <v>13</v>
      </c>
      <c r="C76" s="8">
        <v>4716</v>
      </c>
      <c r="D76" s="8">
        <v>569</v>
      </c>
      <c r="E76" s="8">
        <v>503162</v>
      </c>
      <c r="F76" s="16">
        <v>25.64820078</v>
      </c>
      <c r="G76" s="17">
        <v>11651</v>
      </c>
    </row>
    <row r="77" spans="1:7" ht="15" customHeight="1" thickBot="1" x14ac:dyDescent="0.35">
      <c r="A77" s="7">
        <v>45572</v>
      </c>
      <c r="B77" s="6" t="s">
        <v>22</v>
      </c>
      <c r="C77" s="8">
        <v>5481</v>
      </c>
      <c r="D77" s="8">
        <v>673</v>
      </c>
      <c r="E77" s="8">
        <v>507970</v>
      </c>
      <c r="F77" s="16">
        <v>13.087583909999999</v>
      </c>
      <c r="G77" s="17">
        <v>29194</v>
      </c>
    </row>
    <row r="78" spans="1:7" ht="15" customHeight="1" thickBot="1" x14ac:dyDescent="0.35">
      <c r="A78" s="7">
        <v>45579</v>
      </c>
      <c r="B78" s="6" t="s">
        <v>40</v>
      </c>
      <c r="C78" s="8">
        <v>8898</v>
      </c>
      <c r="D78" s="8">
        <v>1131</v>
      </c>
      <c r="E78" s="8">
        <v>515737</v>
      </c>
      <c r="F78" s="16">
        <v>2.1877429780000002</v>
      </c>
      <c r="G78" s="17">
        <v>35051</v>
      </c>
    </row>
    <row r="79" spans="1:7" ht="15" customHeight="1" thickBot="1" x14ac:dyDescent="0.35">
      <c r="A79" s="7">
        <v>45579</v>
      </c>
      <c r="B79" s="6" t="s">
        <v>13</v>
      </c>
      <c r="C79" s="8">
        <v>7548</v>
      </c>
      <c r="D79" s="8">
        <v>433</v>
      </c>
      <c r="E79" s="8">
        <v>522852</v>
      </c>
      <c r="F79" s="16">
        <v>8.3562843789999999</v>
      </c>
      <c r="G79" s="17">
        <v>37386</v>
      </c>
    </row>
    <row r="80" spans="1:7" ht="15" customHeight="1" thickBot="1" x14ac:dyDescent="0.35">
      <c r="A80" s="7">
        <v>45579</v>
      </c>
      <c r="B80" s="6" t="s">
        <v>40</v>
      </c>
      <c r="C80" s="8">
        <v>3293</v>
      </c>
      <c r="D80" s="8">
        <v>282</v>
      </c>
      <c r="E80" s="8">
        <v>525863</v>
      </c>
      <c r="F80" s="16">
        <v>27.040693109999999</v>
      </c>
      <c r="G80" s="17">
        <v>19518</v>
      </c>
    </row>
    <row r="81" spans="1:7" ht="15" customHeight="1" thickBot="1" x14ac:dyDescent="0.35">
      <c r="A81" s="7">
        <v>45579</v>
      </c>
      <c r="B81" s="6" t="s">
        <v>40</v>
      </c>
      <c r="C81" s="8">
        <v>5837</v>
      </c>
      <c r="D81" s="8">
        <v>359</v>
      </c>
      <c r="E81" s="8">
        <v>531341</v>
      </c>
      <c r="F81" s="16">
        <v>6.8073045370000003</v>
      </c>
      <c r="G81" s="17">
        <v>56026</v>
      </c>
    </row>
    <row r="82" spans="1:7" ht="15" customHeight="1" thickBot="1" x14ac:dyDescent="0.35">
      <c r="A82" s="7">
        <v>45586</v>
      </c>
      <c r="B82" s="6" t="s">
        <v>22</v>
      </c>
      <c r="C82" s="8">
        <v>8758</v>
      </c>
      <c r="D82" s="8">
        <v>1193</v>
      </c>
      <c r="E82" s="8">
        <v>538906</v>
      </c>
      <c r="F82" s="16">
        <v>3.4213758990000001</v>
      </c>
      <c r="G82" s="17">
        <v>26184</v>
      </c>
    </row>
    <row r="83" spans="1:7" ht="15" customHeight="1" thickBot="1" x14ac:dyDescent="0.35">
      <c r="A83" s="7">
        <v>45586</v>
      </c>
      <c r="B83" s="6" t="s">
        <v>13</v>
      </c>
      <c r="C83" s="8">
        <v>7793</v>
      </c>
      <c r="D83" s="8">
        <v>875</v>
      </c>
      <c r="E83" s="8">
        <v>545824</v>
      </c>
      <c r="F83" s="16">
        <v>5.5136820660000003</v>
      </c>
      <c r="G83" s="17">
        <v>43787</v>
      </c>
    </row>
    <row r="84" spans="1:7" ht="15" customHeight="1" thickBot="1" x14ac:dyDescent="0.35">
      <c r="A84" s="7">
        <v>45586</v>
      </c>
      <c r="B84" s="6" t="s">
        <v>22</v>
      </c>
      <c r="C84" s="8">
        <v>8638</v>
      </c>
      <c r="D84" s="8">
        <v>717</v>
      </c>
      <c r="E84" s="8">
        <v>553745</v>
      </c>
      <c r="F84" s="16">
        <v>26.921416900000001</v>
      </c>
      <c r="G84" s="17">
        <v>31621</v>
      </c>
    </row>
    <row r="85" spans="1:7" ht="15" customHeight="1" thickBot="1" x14ac:dyDescent="0.35">
      <c r="A85" s="7">
        <v>45586</v>
      </c>
      <c r="B85" s="6" t="s">
        <v>22</v>
      </c>
      <c r="C85" s="8">
        <v>8993</v>
      </c>
      <c r="D85" s="8">
        <v>506</v>
      </c>
      <c r="E85" s="8">
        <v>562232</v>
      </c>
      <c r="F85" s="16">
        <v>3.5131404829999999</v>
      </c>
      <c r="G85" s="17">
        <v>20028</v>
      </c>
    </row>
    <row r="86" spans="1:7" ht="15" customHeight="1" thickBot="1" x14ac:dyDescent="0.35">
      <c r="A86" s="7">
        <v>45593</v>
      </c>
      <c r="B86" s="6" t="s">
        <v>13</v>
      </c>
      <c r="C86" s="8">
        <v>7007</v>
      </c>
      <c r="D86" s="8">
        <v>568</v>
      </c>
      <c r="E86" s="8">
        <v>568671</v>
      </c>
      <c r="F86" s="16">
        <v>11.505070590000001</v>
      </c>
      <c r="G86" s="17">
        <v>22448</v>
      </c>
    </row>
    <row r="87" spans="1:7" ht="15" customHeight="1" thickBot="1" x14ac:dyDescent="0.35">
      <c r="A87" s="7">
        <v>45593</v>
      </c>
      <c r="B87" s="6" t="s">
        <v>13</v>
      </c>
      <c r="C87" s="8">
        <v>6542</v>
      </c>
      <c r="D87" s="8">
        <v>539</v>
      </c>
      <c r="E87" s="8">
        <v>574674</v>
      </c>
      <c r="F87" s="16">
        <v>6.4069368019999997</v>
      </c>
      <c r="G87" s="17">
        <v>55253</v>
      </c>
    </row>
    <row r="88" spans="1:7" ht="15" customHeight="1" thickBot="1" x14ac:dyDescent="0.35">
      <c r="A88" s="7">
        <v>45593</v>
      </c>
      <c r="B88" s="6" t="s">
        <v>18</v>
      </c>
      <c r="C88" s="8">
        <v>7356</v>
      </c>
      <c r="D88" s="8">
        <v>904</v>
      </c>
      <c r="E88" s="8">
        <v>581126</v>
      </c>
      <c r="F88" s="16">
        <v>17.560907619999998</v>
      </c>
      <c r="G88" s="17">
        <v>44051</v>
      </c>
    </row>
    <row r="89" spans="1:7" ht="15" customHeight="1" thickBot="1" x14ac:dyDescent="0.35">
      <c r="A89" s="7">
        <v>45593</v>
      </c>
      <c r="B89" s="6" t="s">
        <v>18</v>
      </c>
      <c r="C89" s="8">
        <v>9433</v>
      </c>
      <c r="D89" s="8">
        <v>1073</v>
      </c>
      <c r="E89" s="8">
        <v>589486</v>
      </c>
      <c r="F89" s="16">
        <v>7.2934726190000001</v>
      </c>
      <c r="G89" s="17">
        <v>59811</v>
      </c>
    </row>
    <row r="90" spans="1:7" ht="15" customHeight="1" thickBot="1" x14ac:dyDescent="0.35">
      <c r="A90" s="7">
        <v>45600</v>
      </c>
      <c r="B90" s="6" t="s">
        <v>40</v>
      </c>
      <c r="C90" s="8">
        <v>8380</v>
      </c>
      <c r="D90" s="8">
        <v>1162</v>
      </c>
      <c r="E90" s="8">
        <v>596704</v>
      </c>
      <c r="F90" s="16">
        <v>18.05853488</v>
      </c>
      <c r="G90" s="17">
        <v>40447</v>
      </c>
    </row>
    <row r="91" spans="1:7" ht="15" customHeight="1" thickBot="1" x14ac:dyDescent="0.35">
      <c r="A91" s="7">
        <v>45600</v>
      </c>
      <c r="B91" s="6" t="s">
        <v>13</v>
      </c>
      <c r="C91" s="8">
        <v>3385</v>
      </c>
      <c r="D91" s="8">
        <v>329</v>
      </c>
      <c r="E91" s="8">
        <v>599760</v>
      </c>
      <c r="F91" s="16">
        <v>17.617880490000001</v>
      </c>
      <c r="G91" s="17">
        <v>28394</v>
      </c>
    </row>
    <row r="92" spans="1:7" ht="15" customHeight="1" thickBot="1" x14ac:dyDescent="0.35">
      <c r="A92" s="7">
        <v>45600</v>
      </c>
      <c r="B92" s="6" t="s">
        <v>18</v>
      </c>
      <c r="C92" s="8">
        <v>5268</v>
      </c>
      <c r="D92" s="8">
        <v>326</v>
      </c>
      <c r="E92" s="8">
        <v>604702</v>
      </c>
      <c r="F92" s="16">
        <v>23.43584113</v>
      </c>
      <c r="G92" s="17">
        <v>44501</v>
      </c>
    </row>
    <row r="93" spans="1:7" ht="15" customHeight="1" thickBot="1" x14ac:dyDescent="0.35">
      <c r="A93" s="7">
        <v>45600</v>
      </c>
      <c r="B93" s="6" t="s">
        <v>40</v>
      </c>
      <c r="C93" s="8">
        <v>1671</v>
      </c>
      <c r="D93" s="8">
        <v>202</v>
      </c>
      <c r="E93" s="8">
        <v>606171</v>
      </c>
      <c r="F93" s="16">
        <v>15.150015420000001</v>
      </c>
      <c r="G93" s="17">
        <v>40254</v>
      </c>
    </row>
    <row r="94" spans="1:7" ht="15" customHeight="1" thickBot="1" x14ac:dyDescent="0.35">
      <c r="A94" s="7">
        <v>45607</v>
      </c>
      <c r="B94" s="6" t="s">
        <v>40</v>
      </c>
      <c r="C94" s="8">
        <v>1163</v>
      </c>
      <c r="D94" s="8">
        <v>146</v>
      </c>
      <c r="E94" s="8">
        <v>607188</v>
      </c>
      <c r="F94" s="16">
        <v>21.777768989999998</v>
      </c>
      <c r="G94" s="17">
        <v>28509</v>
      </c>
    </row>
    <row r="95" spans="1:7" ht="15" customHeight="1" thickBot="1" x14ac:dyDescent="0.35">
      <c r="A95" s="7">
        <v>45607</v>
      </c>
      <c r="B95" s="6" t="s">
        <v>40</v>
      </c>
      <c r="C95" s="8">
        <v>9656</v>
      </c>
      <c r="D95" s="8">
        <v>1024</v>
      </c>
      <c r="E95" s="8">
        <v>615820</v>
      </c>
      <c r="F95" s="16">
        <v>8.7252768669999998</v>
      </c>
      <c r="G95" s="17">
        <v>58998</v>
      </c>
    </row>
    <row r="96" spans="1:7" ht="15" customHeight="1" thickBot="1" x14ac:dyDescent="0.35">
      <c r="A96" s="7">
        <v>45607</v>
      </c>
      <c r="B96" s="6" t="s">
        <v>18</v>
      </c>
      <c r="C96" s="8">
        <v>5592</v>
      </c>
      <c r="D96" s="8">
        <v>710</v>
      </c>
      <c r="E96" s="8">
        <v>620702</v>
      </c>
      <c r="F96" s="16">
        <v>9.0711806950000007</v>
      </c>
      <c r="G96" s="17">
        <v>24472</v>
      </c>
    </row>
    <row r="97" spans="1:7" ht="15" customHeight="1" thickBot="1" x14ac:dyDescent="0.35">
      <c r="A97" s="7">
        <v>45607</v>
      </c>
      <c r="B97" s="6" t="s">
        <v>13</v>
      </c>
      <c r="C97" s="8">
        <v>5795</v>
      </c>
      <c r="D97" s="8">
        <v>575</v>
      </c>
      <c r="E97" s="8">
        <v>625922</v>
      </c>
      <c r="F97" s="16">
        <v>3.0908004509999998</v>
      </c>
      <c r="G97" s="17">
        <v>55657</v>
      </c>
    </row>
    <row r="98" spans="1:7" ht="15" customHeight="1" thickBot="1" x14ac:dyDescent="0.35">
      <c r="A98" s="7">
        <v>45614</v>
      </c>
      <c r="B98" s="6" t="s">
        <v>22</v>
      </c>
      <c r="C98" s="8">
        <v>5798</v>
      </c>
      <c r="D98" s="8">
        <v>592</v>
      </c>
      <c r="E98" s="8">
        <v>631128</v>
      </c>
      <c r="F98" s="16">
        <v>1.677472716</v>
      </c>
      <c r="G98" s="17">
        <v>13471</v>
      </c>
    </row>
    <row r="99" spans="1:7" ht="15" customHeight="1" thickBot="1" x14ac:dyDescent="0.35">
      <c r="A99" s="7">
        <v>45614</v>
      </c>
      <c r="B99" s="6" t="s">
        <v>40</v>
      </c>
      <c r="C99" s="8">
        <v>7036</v>
      </c>
      <c r="D99" s="8">
        <v>652</v>
      </c>
      <c r="E99" s="8">
        <v>637512</v>
      </c>
      <c r="F99" s="16">
        <v>3.570599455</v>
      </c>
      <c r="G99" s="17">
        <v>51796</v>
      </c>
    </row>
    <row r="100" spans="1:7" ht="15" customHeight="1" thickBot="1" x14ac:dyDescent="0.35">
      <c r="A100" s="7">
        <v>45614</v>
      </c>
      <c r="B100" s="6" t="s">
        <v>18</v>
      </c>
      <c r="C100" s="8">
        <v>3355</v>
      </c>
      <c r="D100" s="8">
        <v>176</v>
      </c>
      <c r="E100" s="8">
        <v>640691</v>
      </c>
      <c r="F100" s="16">
        <v>12.426427090000001</v>
      </c>
      <c r="G100" s="17">
        <v>40268</v>
      </c>
    </row>
    <row r="101" spans="1:7" ht="15" customHeight="1" thickBot="1" x14ac:dyDescent="0.35">
      <c r="A101" s="7">
        <v>45614</v>
      </c>
      <c r="B101" s="6" t="s">
        <v>18</v>
      </c>
      <c r="C101" s="8">
        <v>6887</v>
      </c>
      <c r="D101" s="8">
        <v>418</v>
      </c>
      <c r="E101" s="8">
        <v>647160</v>
      </c>
      <c r="F101" s="16">
        <v>20.240280609999999</v>
      </c>
      <c r="G101" s="17">
        <v>18329</v>
      </c>
    </row>
    <row r="102" spans="1:7" ht="15" customHeight="1" thickBot="1" x14ac:dyDescent="0.35">
      <c r="A102" s="7">
        <v>45621</v>
      </c>
      <c r="B102" s="6" t="s">
        <v>22</v>
      </c>
      <c r="C102" s="8">
        <v>8961</v>
      </c>
      <c r="D102" s="8">
        <v>476</v>
      </c>
      <c r="E102" s="8">
        <v>655645</v>
      </c>
      <c r="F102" s="16">
        <v>15.458517949999999</v>
      </c>
      <c r="G102" s="17">
        <v>44865</v>
      </c>
    </row>
    <row r="103" spans="1:7" ht="15" customHeight="1" thickBot="1" x14ac:dyDescent="0.35">
      <c r="A103" s="7">
        <v>45621</v>
      </c>
      <c r="B103" s="6" t="s">
        <v>22</v>
      </c>
      <c r="C103" s="8">
        <v>6827</v>
      </c>
      <c r="D103" s="8">
        <v>775</v>
      </c>
      <c r="E103" s="8">
        <v>661697</v>
      </c>
      <c r="F103" s="16">
        <v>15.96622019</v>
      </c>
      <c r="G103" s="17">
        <v>56850</v>
      </c>
    </row>
    <row r="104" spans="1:7" ht="15" customHeight="1" thickBot="1" x14ac:dyDescent="0.35">
      <c r="A104" s="7">
        <v>45621</v>
      </c>
      <c r="B104" s="6" t="s">
        <v>18</v>
      </c>
      <c r="C104" s="8">
        <v>9737</v>
      </c>
      <c r="D104" s="8">
        <v>792</v>
      </c>
      <c r="E104" s="8">
        <v>670642</v>
      </c>
      <c r="F104" s="16">
        <v>5.3017854529999999</v>
      </c>
      <c r="G104" s="17">
        <v>56698</v>
      </c>
    </row>
    <row r="105" spans="1:7" ht="15" customHeight="1" thickBot="1" x14ac:dyDescent="0.35">
      <c r="A105" s="7">
        <v>45621</v>
      </c>
      <c r="B105" s="6" t="s">
        <v>13</v>
      </c>
      <c r="C105" s="8">
        <v>5719</v>
      </c>
      <c r="D105" s="8">
        <v>576</v>
      </c>
      <c r="E105" s="8">
        <v>675785</v>
      </c>
      <c r="F105" s="16">
        <v>10.216562959999999</v>
      </c>
      <c r="G105" s="17">
        <v>38272</v>
      </c>
    </row>
    <row r="106" spans="1:7" ht="15" customHeight="1" thickBot="1" x14ac:dyDescent="0.35">
      <c r="A106" s="7">
        <v>45628</v>
      </c>
      <c r="B106" s="6" t="s">
        <v>22</v>
      </c>
      <c r="C106" s="8">
        <v>1593</v>
      </c>
      <c r="D106" s="8">
        <v>224</v>
      </c>
      <c r="E106" s="8">
        <v>677154</v>
      </c>
      <c r="F106" s="16">
        <v>4.1495730660000003</v>
      </c>
      <c r="G106" s="17">
        <v>52845</v>
      </c>
    </row>
    <row r="107" spans="1:7" ht="15" customHeight="1" thickBot="1" x14ac:dyDescent="0.35">
      <c r="A107" s="7">
        <v>45628</v>
      </c>
      <c r="B107" s="6" t="s">
        <v>18</v>
      </c>
      <c r="C107" s="8">
        <v>5839</v>
      </c>
      <c r="D107" s="8">
        <v>437</v>
      </c>
      <c r="E107" s="8">
        <v>682556</v>
      </c>
      <c r="F107" s="16">
        <v>17.447506140000002</v>
      </c>
      <c r="G107" s="17">
        <v>16397</v>
      </c>
    </row>
    <row r="108" spans="1:7" ht="15" customHeight="1" thickBot="1" x14ac:dyDescent="0.35">
      <c r="A108" s="7">
        <v>45628</v>
      </c>
      <c r="B108" s="6" t="s">
        <v>22</v>
      </c>
      <c r="C108" s="8">
        <v>8394</v>
      </c>
      <c r="D108" s="8">
        <v>764</v>
      </c>
      <c r="E108" s="8">
        <v>690186</v>
      </c>
      <c r="F108" s="16">
        <v>6.3556780350000004</v>
      </c>
      <c r="G108" s="17">
        <v>42373</v>
      </c>
    </row>
    <row r="109" spans="1:7" ht="15" customHeight="1" thickBot="1" x14ac:dyDescent="0.35">
      <c r="A109" s="7">
        <v>45628</v>
      </c>
      <c r="B109" s="6" t="s">
        <v>13</v>
      </c>
      <c r="C109" s="8">
        <v>4493</v>
      </c>
      <c r="D109" s="8">
        <v>564</v>
      </c>
      <c r="E109" s="8">
        <v>694115</v>
      </c>
      <c r="F109" s="16">
        <v>16.62548713</v>
      </c>
      <c r="G109" s="17">
        <v>45525</v>
      </c>
    </row>
    <row r="110" spans="1:7" ht="15" customHeight="1" thickBot="1" x14ac:dyDescent="0.35">
      <c r="A110" s="7">
        <v>45635</v>
      </c>
      <c r="B110" s="6" t="s">
        <v>40</v>
      </c>
      <c r="C110" s="8">
        <v>7164</v>
      </c>
      <c r="D110" s="8">
        <v>522</v>
      </c>
      <c r="E110" s="8">
        <v>700757</v>
      </c>
      <c r="F110" s="16">
        <v>13.44916997</v>
      </c>
      <c r="G110" s="17">
        <v>34570</v>
      </c>
    </row>
    <row r="111" spans="1:7" ht="15" customHeight="1" thickBot="1" x14ac:dyDescent="0.35">
      <c r="A111" s="7">
        <v>45635</v>
      </c>
      <c r="B111" s="6" t="s">
        <v>22</v>
      </c>
      <c r="C111" s="8">
        <v>3672</v>
      </c>
      <c r="D111" s="8">
        <v>211</v>
      </c>
      <c r="E111" s="8">
        <v>704218</v>
      </c>
      <c r="F111" s="16">
        <v>12.35057894</v>
      </c>
      <c r="G111" s="17">
        <v>28284</v>
      </c>
    </row>
    <row r="112" spans="1:7" ht="15" customHeight="1" thickBot="1" x14ac:dyDescent="0.35">
      <c r="A112" s="7">
        <v>45635</v>
      </c>
      <c r="B112" s="6" t="s">
        <v>13</v>
      </c>
      <c r="C112" s="8">
        <v>5200</v>
      </c>
      <c r="D112" s="8">
        <v>410</v>
      </c>
      <c r="E112" s="8">
        <v>709008</v>
      </c>
      <c r="F112" s="16">
        <v>12.91339449</v>
      </c>
      <c r="G112" s="17">
        <v>28994</v>
      </c>
    </row>
    <row r="113" spans="1:7" ht="15" customHeight="1" thickBot="1" x14ac:dyDescent="0.35">
      <c r="A113" s="7">
        <v>45635</v>
      </c>
      <c r="B113" s="6" t="s">
        <v>18</v>
      </c>
      <c r="C113" s="8">
        <v>1016</v>
      </c>
      <c r="D113" s="8">
        <v>67</v>
      </c>
      <c r="E113" s="8">
        <v>709957</v>
      </c>
      <c r="F113" s="16">
        <v>20.774215900000002</v>
      </c>
      <c r="G113" s="17">
        <v>33284</v>
      </c>
    </row>
    <row r="114" spans="1:7" ht="15" customHeight="1" thickBot="1" x14ac:dyDescent="0.35">
      <c r="A114" s="7">
        <v>45642</v>
      </c>
      <c r="B114" s="6" t="s">
        <v>22</v>
      </c>
      <c r="C114" s="8">
        <v>4191</v>
      </c>
      <c r="D114" s="8">
        <v>599</v>
      </c>
      <c r="E114" s="8">
        <v>713549</v>
      </c>
      <c r="F114" s="16">
        <v>11.564167279999999</v>
      </c>
      <c r="G114" s="17">
        <v>27833</v>
      </c>
    </row>
    <row r="115" spans="1:7" ht="15" customHeight="1" thickBot="1" x14ac:dyDescent="0.35">
      <c r="A115" s="7">
        <v>45642</v>
      </c>
      <c r="B115" s="6" t="s">
        <v>22</v>
      </c>
      <c r="C115" s="8">
        <v>1392</v>
      </c>
      <c r="D115" s="8">
        <v>182</v>
      </c>
      <c r="E115" s="8">
        <v>714759</v>
      </c>
      <c r="F115" s="16">
        <v>5.9603306849999997</v>
      </c>
      <c r="G115" s="17">
        <v>35122</v>
      </c>
    </row>
    <row r="116" spans="1:7" ht="15" customHeight="1" thickBot="1" x14ac:dyDescent="0.35">
      <c r="A116" s="7">
        <v>45642</v>
      </c>
      <c r="B116" s="6" t="s">
        <v>18</v>
      </c>
      <c r="C116" s="8">
        <v>9616</v>
      </c>
      <c r="D116" s="8">
        <v>1089</v>
      </c>
      <c r="E116" s="8">
        <v>723286</v>
      </c>
      <c r="F116" s="16">
        <v>19.258633509999999</v>
      </c>
      <c r="G116" s="17">
        <v>15017</v>
      </c>
    </row>
    <row r="117" spans="1:7" ht="15" customHeight="1" thickBot="1" x14ac:dyDescent="0.35">
      <c r="A117" s="7">
        <v>45642</v>
      </c>
      <c r="B117" s="6" t="s">
        <v>40</v>
      </c>
      <c r="C117" s="8">
        <v>7272</v>
      </c>
      <c r="D117" s="8">
        <v>997</v>
      </c>
      <c r="E117" s="8">
        <v>729561</v>
      </c>
      <c r="F117" s="16">
        <v>13.428486449999999</v>
      </c>
      <c r="G117" s="17">
        <v>26370</v>
      </c>
    </row>
    <row r="118" spans="1:7" ht="15" customHeight="1" thickBot="1" x14ac:dyDescent="0.35">
      <c r="A118" s="7">
        <v>45649</v>
      </c>
      <c r="B118" s="6" t="s">
        <v>18</v>
      </c>
      <c r="C118" s="8">
        <v>1571</v>
      </c>
      <c r="D118" s="8">
        <v>204</v>
      </c>
      <c r="E118" s="8">
        <v>730928</v>
      </c>
      <c r="F118" s="16">
        <v>19.449384890000001</v>
      </c>
      <c r="G118" s="17">
        <v>39252</v>
      </c>
    </row>
    <row r="119" spans="1:7" ht="15" customHeight="1" thickBot="1" x14ac:dyDescent="0.35">
      <c r="A119" s="7">
        <v>45649</v>
      </c>
      <c r="B119" s="6" t="s">
        <v>22</v>
      </c>
      <c r="C119" s="8">
        <v>4631</v>
      </c>
      <c r="D119" s="8">
        <v>317</v>
      </c>
      <c r="E119" s="8">
        <v>735242</v>
      </c>
      <c r="F119" s="16">
        <v>1.381177898</v>
      </c>
      <c r="G119" s="17">
        <v>17999</v>
      </c>
    </row>
    <row r="120" spans="1:7" ht="15" customHeight="1" thickBot="1" x14ac:dyDescent="0.35">
      <c r="A120" s="7">
        <v>45649</v>
      </c>
      <c r="B120" s="6" t="s">
        <v>18</v>
      </c>
      <c r="C120" s="8">
        <v>7172</v>
      </c>
      <c r="D120" s="8">
        <v>998</v>
      </c>
      <c r="E120" s="8">
        <v>741416</v>
      </c>
      <c r="F120" s="16">
        <v>18.066780319999999</v>
      </c>
      <c r="G120" s="17">
        <v>32436</v>
      </c>
    </row>
    <row r="121" spans="1:7" ht="15" customHeight="1" thickBot="1" x14ac:dyDescent="0.35">
      <c r="A121" s="7">
        <v>45649</v>
      </c>
      <c r="B121" s="6" t="s">
        <v>13</v>
      </c>
      <c r="C121" s="8">
        <v>8177</v>
      </c>
      <c r="D121" s="8">
        <v>849</v>
      </c>
      <c r="E121" s="8">
        <v>748744</v>
      </c>
      <c r="F121" s="16">
        <v>10.34986591</v>
      </c>
      <c r="G121" s="17">
        <v>52963</v>
      </c>
    </row>
    <row r="122" spans="1:7" ht="15" customHeight="1" thickBot="1" x14ac:dyDescent="0.35">
      <c r="A122" s="7">
        <v>45656</v>
      </c>
      <c r="B122" s="6" t="s">
        <v>18</v>
      </c>
      <c r="C122" s="8">
        <v>9433</v>
      </c>
      <c r="D122" s="8">
        <v>1233</v>
      </c>
      <c r="E122" s="8">
        <v>756944</v>
      </c>
      <c r="F122" s="16">
        <v>11.391727789999999</v>
      </c>
      <c r="G122" s="17">
        <v>12096</v>
      </c>
    </row>
    <row r="123" spans="1:7" ht="15" customHeight="1" thickBot="1" x14ac:dyDescent="0.35">
      <c r="A123" s="7">
        <v>45656</v>
      </c>
      <c r="B123" s="6" t="s">
        <v>22</v>
      </c>
      <c r="C123" s="8">
        <v>4897</v>
      </c>
      <c r="D123" s="8">
        <v>683</v>
      </c>
      <c r="E123" s="8">
        <v>761158</v>
      </c>
      <c r="F123" s="16">
        <v>15.062312950000001</v>
      </c>
      <c r="G123" s="17">
        <v>58201</v>
      </c>
    </row>
    <row r="124" spans="1:7" ht="15" customHeight="1" thickBot="1" x14ac:dyDescent="0.35">
      <c r="A124" s="7">
        <v>45656</v>
      </c>
      <c r="B124" s="6" t="s">
        <v>18</v>
      </c>
      <c r="C124" s="8">
        <v>9123</v>
      </c>
      <c r="D124" s="8">
        <v>746</v>
      </c>
      <c r="E124" s="8">
        <v>769535</v>
      </c>
      <c r="F124" s="16">
        <v>6.3086149430000003</v>
      </c>
      <c r="G124" s="17">
        <v>35279</v>
      </c>
    </row>
    <row r="125" spans="1:7" ht="15" customHeight="1" thickBot="1" x14ac:dyDescent="0.35">
      <c r="A125" s="7">
        <v>45656</v>
      </c>
      <c r="B125" s="6" t="s">
        <v>40</v>
      </c>
      <c r="C125" s="8">
        <v>3279</v>
      </c>
      <c r="D125" s="8">
        <v>200</v>
      </c>
      <c r="E125" s="8">
        <v>772614</v>
      </c>
      <c r="F125" s="16">
        <v>5.0212654700000003</v>
      </c>
      <c r="G125" s="17">
        <v>53363</v>
      </c>
    </row>
    <row r="126" spans="1:7" ht="15" customHeight="1" thickBot="1" x14ac:dyDescent="0.35">
      <c r="A126" s="7">
        <v>45663</v>
      </c>
      <c r="B126" s="6" t="s">
        <v>18</v>
      </c>
      <c r="C126" s="8">
        <v>9980</v>
      </c>
      <c r="D126" s="8">
        <v>726</v>
      </c>
      <c r="E126" s="8">
        <v>781868</v>
      </c>
      <c r="F126" s="16">
        <v>4.0220344099999998</v>
      </c>
      <c r="G126" s="17">
        <v>58709</v>
      </c>
    </row>
    <row r="127" spans="1:7" ht="15" customHeight="1" thickBot="1" x14ac:dyDescent="0.35">
      <c r="A127" s="7">
        <v>45663</v>
      </c>
      <c r="B127" s="6" t="s">
        <v>40</v>
      </c>
      <c r="C127" s="8">
        <v>8451</v>
      </c>
      <c r="D127" s="8">
        <v>783</v>
      </c>
      <c r="E127" s="8">
        <v>789536</v>
      </c>
      <c r="F127" s="16">
        <v>12.40728732</v>
      </c>
      <c r="G127" s="17">
        <v>36201</v>
      </c>
    </row>
    <row r="128" spans="1:7" ht="15" customHeight="1" thickBot="1" x14ac:dyDescent="0.35">
      <c r="A128" s="7">
        <v>45663</v>
      </c>
      <c r="B128" s="6" t="s">
        <v>13</v>
      </c>
      <c r="C128" s="8">
        <v>9906</v>
      </c>
      <c r="D128" s="8">
        <v>1305</v>
      </c>
      <c r="E128" s="8">
        <v>798137</v>
      </c>
      <c r="F128" s="16">
        <v>9.1811305579999996</v>
      </c>
      <c r="G128" s="17">
        <v>29715</v>
      </c>
    </row>
    <row r="129" spans="1:7" ht="15" customHeight="1" thickBot="1" x14ac:dyDescent="0.35">
      <c r="A129" s="7">
        <v>45663</v>
      </c>
      <c r="B129" s="6" t="s">
        <v>40</v>
      </c>
      <c r="C129" s="8">
        <v>1775</v>
      </c>
      <c r="D129" s="8">
        <v>241</v>
      </c>
      <c r="E129" s="8">
        <v>799671</v>
      </c>
      <c r="F129" s="16">
        <v>8.1379717409999994</v>
      </c>
      <c r="G129" s="17">
        <v>39309</v>
      </c>
    </row>
    <row r="130" spans="1:7" ht="15" customHeight="1" thickBot="1" x14ac:dyDescent="0.35">
      <c r="A130" s="7">
        <v>45670</v>
      </c>
      <c r="B130" s="6" t="s">
        <v>18</v>
      </c>
      <c r="C130" s="8">
        <v>7869</v>
      </c>
      <c r="D130" s="8">
        <v>398</v>
      </c>
      <c r="E130" s="8">
        <v>807142</v>
      </c>
      <c r="F130" s="16">
        <v>15.21194536</v>
      </c>
      <c r="G130" s="17">
        <v>25078</v>
      </c>
    </row>
    <row r="131" spans="1:7" ht="15" customHeight="1" thickBot="1" x14ac:dyDescent="0.35">
      <c r="A131" s="7">
        <v>45670</v>
      </c>
      <c r="B131" s="6" t="s">
        <v>22</v>
      </c>
      <c r="C131" s="8">
        <v>3247</v>
      </c>
      <c r="D131" s="8">
        <v>328</v>
      </c>
      <c r="E131" s="8">
        <v>810061</v>
      </c>
      <c r="F131" s="16">
        <v>13.941172330000001</v>
      </c>
      <c r="G131" s="17">
        <v>15105</v>
      </c>
    </row>
    <row r="132" spans="1:7" ht="15" customHeight="1" thickBot="1" x14ac:dyDescent="0.35">
      <c r="A132" s="7">
        <v>45670</v>
      </c>
      <c r="B132" s="6" t="s">
        <v>40</v>
      </c>
      <c r="C132" s="8">
        <v>8088</v>
      </c>
      <c r="D132" s="8">
        <v>742</v>
      </c>
      <c r="E132" s="8">
        <v>817407</v>
      </c>
      <c r="F132" s="16">
        <v>14.664542880000001</v>
      </c>
      <c r="G132" s="17">
        <v>39312</v>
      </c>
    </row>
    <row r="133" spans="1:7" ht="15" customHeight="1" thickBot="1" x14ac:dyDescent="0.35">
      <c r="A133" s="7">
        <v>45670</v>
      </c>
      <c r="B133" s="6" t="s">
        <v>13</v>
      </c>
      <c r="C133" s="8">
        <v>1078</v>
      </c>
      <c r="D133" s="8">
        <v>77</v>
      </c>
      <c r="E133" s="8">
        <v>818408</v>
      </c>
      <c r="F133" s="16">
        <v>18.236747439999998</v>
      </c>
      <c r="G133" s="17">
        <v>12839</v>
      </c>
    </row>
    <row r="134" spans="1:7" ht="15" customHeight="1" thickBot="1" x14ac:dyDescent="0.35">
      <c r="A134" s="7">
        <v>45677</v>
      </c>
      <c r="B134" s="6" t="s">
        <v>40</v>
      </c>
      <c r="C134" s="8">
        <v>9080</v>
      </c>
      <c r="D134" s="8">
        <v>562</v>
      </c>
      <c r="E134" s="8">
        <v>826926</v>
      </c>
      <c r="F134" s="16">
        <v>7.1083748729999998</v>
      </c>
      <c r="G134" s="17">
        <v>13384</v>
      </c>
    </row>
    <row r="135" spans="1:7" ht="15" customHeight="1" thickBot="1" x14ac:dyDescent="0.35">
      <c r="A135" s="7">
        <v>45677</v>
      </c>
      <c r="B135" s="6" t="s">
        <v>40</v>
      </c>
      <c r="C135" s="8">
        <v>8099</v>
      </c>
      <c r="D135" s="8">
        <v>678</v>
      </c>
      <c r="E135" s="8">
        <v>834347</v>
      </c>
      <c r="F135" s="16">
        <v>7.6464588469999999</v>
      </c>
      <c r="G135" s="17">
        <v>53619</v>
      </c>
    </row>
    <row r="136" spans="1:7" ht="15" customHeight="1" thickBot="1" x14ac:dyDescent="0.35">
      <c r="A136" s="7">
        <v>45677</v>
      </c>
      <c r="B136" s="6" t="s">
        <v>40</v>
      </c>
      <c r="C136" s="8">
        <v>4926</v>
      </c>
      <c r="D136" s="8">
        <v>710</v>
      </c>
      <c r="E136" s="8">
        <v>838563</v>
      </c>
      <c r="F136" s="16">
        <v>12.962174579999999</v>
      </c>
      <c r="G136" s="17">
        <v>52821</v>
      </c>
    </row>
    <row r="137" spans="1:7" ht="15" customHeight="1" thickBot="1" x14ac:dyDescent="0.35">
      <c r="A137" s="7">
        <v>45677</v>
      </c>
      <c r="B137" s="6" t="s">
        <v>13</v>
      </c>
      <c r="C137" s="8">
        <v>8340</v>
      </c>
      <c r="D137" s="8">
        <v>686</v>
      </c>
      <c r="E137" s="8">
        <v>846217</v>
      </c>
      <c r="F137" s="16">
        <v>7.201344336</v>
      </c>
      <c r="G137" s="17">
        <v>23493</v>
      </c>
    </row>
    <row r="138" spans="1:7" ht="15" customHeight="1" thickBot="1" x14ac:dyDescent="0.35">
      <c r="A138" s="7">
        <v>45684</v>
      </c>
      <c r="B138" s="6" t="s">
        <v>18</v>
      </c>
      <c r="C138" s="8">
        <v>8083</v>
      </c>
      <c r="D138" s="8">
        <v>823</v>
      </c>
      <c r="E138" s="8">
        <v>853477</v>
      </c>
      <c r="F138" s="16">
        <v>4.6300017459999996</v>
      </c>
      <c r="G138" s="17">
        <v>27069</v>
      </c>
    </row>
    <row r="139" spans="1:7" ht="15" customHeight="1" thickBot="1" x14ac:dyDescent="0.35">
      <c r="A139" s="7">
        <v>45684</v>
      </c>
      <c r="B139" s="6" t="s">
        <v>40</v>
      </c>
      <c r="C139" s="8">
        <v>7230</v>
      </c>
      <c r="D139" s="8">
        <v>869</v>
      </c>
      <c r="E139" s="8">
        <v>859838</v>
      </c>
      <c r="F139" s="16">
        <v>7.0117859410000003</v>
      </c>
      <c r="G139" s="17">
        <v>56907</v>
      </c>
    </row>
    <row r="140" spans="1:7" ht="15" customHeight="1" thickBot="1" x14ac:dyDescent="0.35">
      <c r="A140" s="7">
        <v>45684</v>
      </c>
      <c r="B140" s="6" t="s">
        <v>40</v>
      </c>
      <c r="C140" s="8">
        <v>5940</v>
      </c>
      <c r="D140" s="8">
        <v>512</v>
      </c>
      <c r="E140" s="8">
        <v>865266</v>
      </c>
      <c r="F140" s="16">
        <v>15.797223049999999</v>
      </c>
      <c r="G140" s="17">
        <v>17531</v>
      </c>
    </row>
    <row r="141" spans="1:7" ht="15" customHeight="1" thickBot="1" x14ac:dyDescent="0.35">
      <c r="A141" s="7">
        <v>45684</v>
      </c>
      <c r="B141" s="6" t="s">
        <v>22</v>
      </c>
      <c r="C141" s="8">
        <v>4271</v>
      </c>
      <c r="D141" s="8">
        <v>628</v>
      </c>
      <c r="E141" s="8">
        <v>868909</v>
      </c>
      <c r="F141" s="16">
        <v>11.124410040000001</v>
      </c>
      <c r="G141" s="17">
        <v>47051</v>
      </c>
    </row>
    <row r="142" spans="1:7" ht="15" customHeight="1" thickBot="1" x14ac:dyDescent="0.35">
      <c r="A142" s="7">
        <v>45691</v>
      </c>
      <c r="B142" s="6" t="s">
        <v>13</v>
      </c>
      <c r="C142" s="8">
        <v>4456</v>
      </c>
      <c r="D142" s="8">
        <v>651</v>
      </c>
      <c r="E142" s="8">
        <v>872714</v>
      </c>
      <c r="F142" s="16">
        <v>9.5052903929999992</v>
      </c>
      <c r="G142" s="17">
        <v>17736</v>
      </c>
    </row>
    <row r="143" spans="1:7" ht="15" customHeight="1" thickBot="1" x14ac:dyDescent="0.35">
      <c r="A143" s="7">
        <v>45691</v>
      </c>
      <c r="B143" s="6" t="s">
        <v>40</v>
      </c>
      <c r="C143" s="8">
        <v>8788</v>
      </c>
      <c r="D143" s="8">
        <v>660</v>
      </c>
      <c r="E143" s="8">
        <v>880842</v>
      </c>
      <c r="F143" s="16">
        <v>3.7175793160000001</v>
      </c>
      <c r="G143" s="17">
        <v>17710</v>
      </c>
    </row>
    <row r="144" spans="1:7" ht="15" customHeight="1" thickBot="1" x14ac:dyDescent="0.35">
      <c r="A144" s="7">
        <v>45691</v>
      </c>
      <c r="B144" s="6" t="s">
        <v>13</v>
      </c>
      <c r="C144" s="8">
        <v>9599</v>
      </c>
      <c r="D144" s="8">
        <v>957</v>
      </c>
      <c r="E144" s="8">
        <v>889484</v>
      </c>
      <c r="F144" s="16">
        <v>8.7680048209999999</v>
      </c>
      <c r="G144" s="17">
        <v>11619</v>
      </c>
    </row>
    <row r="145" spans="1:7" ht="15" customHeight="1" thickBot="1" x14ac:dyDescent="0.35">
      <c r="A145" s="7">
        <v>45691</v>
      </c>
      <c r="B145" s="6" t="s">
        <v>40</v>
      </c>
      <c r="C145" s="8">
        <v>8650</v>
      </c>
      <c r="D145" s="8">
        <v>692</v>
      </c>
      <c r="E145" s="8">
        <v>897442</v>
      </c>
      <c r="F145" s="16">
        <v>7.6673478619999997</v>
      </c>
      <c r="G145" s="17">
        <v>23975</v>
      </c>
    </row>
    <row r="146" spans="1:7" ht="15" customHeight="1" thickBot="1" x14ac:dyDescent="0.35">
      <c r="A146" s="7">
        <v>45698</v>
      </c>
      <c r="B146" s="6" t="s">
        <v>18</v>
      </c>
      <c r="C146" s="8">
        <v>3711</v>
      </c>
      <c r="D146" s="8">
        <v>291</v>
      </c>
      <c r="E146" s="8">
        <v>900862</v>
      </c>
      <c r="F146" s="16">
        <v>14.24879726</v>
      </c>
      <c r="G146" s="17">
        <v>55603</v>
      </c>
    </row>
    <row r="147" spans="1:7" ht="15" customHeight="1" thickBot="1" x14ac:dyDescent="0.35">
      <c r="A147" s="7">
        <v>45698</v>
      </c>
      <c r="B147" s="6" t="s">
        <v>18</v>
      </c>
      <c r="C147" s="8">
        <v>2668</v>
      </c>
      <c r="D147" s="8">
        <v>143</v>
      </c>
      <c r="E147" s="8">
        <v>903387</v>
      </c>
      <c r="F147" s="16">
        <v>15.90337253</v>
      </c>
      <c r="G147" s="17">
        <v>33252</v>
      </c>
    </row>
    <row r="148" spans="1:7" ht="15" customHeight="1" thickBot="1" x14ac:dyDescent="0.35">
      <c r="A148" s="7">
        <v>45698</v>
      </c>
      <c r="B148" s="6" t="s">
        <v>40</v>
      </c>
      <c r="C148" s="8">
        <v>1147</v>
      </c>
      <c r="D148" s="8">
        <v>127</v>
      </c>
      <c r="E148" s="8">
        <v>904407</v>
      </c>
      <c r="F148" s="16">
        <v>1.399701683</v>
      </c>
      <c r="G148" s="17">
        <v>25261</v>
      </c>
    </row>
    <row r="149" spans="1:7" ht="15" customHeight="1" thickBot="1" x14ac:dyDescent="0.35">
      <c r="A149" s="7">
        <v>45698</v>
      </c>
      <c r="B149" s="6" t="s">
        <v>18</v>
      </c>
      <c r="C149" s="8">
        <v>7420</v>
      </c>
      <c r="D149" s="8">
        <v>743</v>
      </c>
      <c r="E149" s="8">
        <v>911084</v>
      </c>
      <c r="F149" s="16">
        <v>10.59353473</v>
      </c>
      <c r="G149" s="17">
        <v>11431</v>
      </c>
    </row>
    <row r="150" spans="1:7" ht="15" customHeight="1" thickBot="1" x14ac:dyDescent="0.35">
      <c r="A150" s="7">
        <v>45705</v>
      </c>
      <c r="B150" s="6" t="s">
        <v>40</v>
      </c>
      <c r="C150" s="8">
        <v>1365</v>
      </c>
      <c r="D150" s="8">
        <v>75</v>
      </c>
      <c r="E150" s="8">
        <v>912374</v>
      </c>
      <c r="F150" s="16">
        <v>9.2688963080000004</v>
      </c>
      <c r="G150" s="17">
        <v>19067</v>
      </c>
    </row>
    <row r="151" spans="1:7" ht="15" customHeight="1" thickBot="1" x14ac:dyDescent="0.35">
      <c r="A151" s="7">
        <v>45705</v>
      </c>
      <c r="B151" s="6" t="s">
        <v>18</v>
      </c>
      <c r="C151" s="8">
        <v>5531</v>
      </c>
      <c r="D151" s="8">
        <v>430</v>
      </c>
      <c r="E151" s="8">
        <v>917475</v>
      </c>
      <c r="F151" s="16">
        <v>2.7289026949999999</v>
      </c>
      <c r="G151" s="17">
        <v>47481</v>
      </c>
    </row>
    <row r="152" spans="1:7" ht="15" customHeight="1" thickBot="1" x14ac:dyDescent="0.35">
      <c r="A152" s="7">
        <v>45705</v>
      </c>
      <c r="B152" s="6" t="s">
        <v>22</v>
      </c>
      <c r="C152" s="8">
        <v>6330</v>
      </c>
      <c r="D152" s="8">
        <v>891</v>
      </c>
      <c r="E152" s="8">
        <v>922914</v>
      </c>
      <c r="F152" s="16">
        <v>14.789893749999999</v>
      </c>
      <c r="G152" s="17">
        <v>37037</v>
      </c>
    </row>
    <row r="153" spans="1:7" ht="15" customHeight="1" thickBot="1" x14ac:dyDescent="0.35">
      <c r="A153" s="7">
        <v>45705</v>
      </c>
      <c r="B153" s="6" t="s">
        <v>22</v>
      </c>
      <c r="C153" s="8">
        <v>6510</v>
      </c>
      <c r="D153" s="8">
        <v>481</v>
      </c>
      <c r="E153" s="8">
        <v>928943</v>
      </c>
      <c r="F153" s="16">
        <v>2.3800168579999998</v>
      </c>
      <c r="G153" s="17">
        <v>19557</v>
      </c>
    </row>
    <row r="154" spans="1:7" ht="15" customHeight="1" thickBot="1" x14ac:dyDescent="0.35">
      <c r="A154" s="7">
        <v>45712</v>
      </c>
      <c r="B154" s="6" t="s">
        <v>22</v>
      </c>
      <c r="C154" s="8">
        <v>9754</v>
      </c>
      <c r="D154" s="8">
        <v>629</v>
      </c>
      <c r="E154" s="8">
        <v>938068</v>
      </c>
      <c r="F154" s="16">
        <v>3.4123325809999998</v>
      </c>
      <c r="G154" s="17">
        <v>19435</v>
      </c>
    </row>
    <row r="155" spans="1:7" ht="15" customHeight="1" thickBot="1" x14ac:dyDescent="0.35">
      <c r="A155" s="7">
        <v>45712</v>
      </c>
      <c r="B155" s="6" t="s">
        <v>13</v>
      </c>
      <c r="C155" s="8">
        <v>9964</v>
      </c>
      <c r="D155" s="8">
        <v>985</v>
      </c>
      <c r="E155" s="8">
        <v>947047</v>
      </c>
      <c r="F155" s="16">
        <v>1.9837452630000001</v>
      </c>
      <c r="G155" s="17">
        <v>47766</v>
      </c>
    </row>
    <row r="156" spans="1:7" ht="15" customHeight="1" thickBot="1" x14ac:dyDescent="0.35">
      <c r="A156" s="7">
        <v>45712</v>
      </c>
      <c r="B156" s="6" t="s">
        <v>13</v>
      </c>
      <c r="C156" s="8">
        <v>7493</v>
      </c>
      <c r="D156" s="8">
        <v>1113</v>
      </c>
      <c r="E156" s="8">
        <v>953427</v>
      </c>
      <c r="F156" s="16">
        <v>15.6848925</v>
      </c>
      <c r="G156" s="17">
        <v>10162</v>
      </c>
    </row>
    <row r="157" spans="1:7" ht="15" customHeight="1" thickBot="1" x14ac:dyDescent="0.35">
      <c r="A157" s="7">
        <v>45712</v>
      </c>
      <c r="B157" s="6" t="s">
        <v>22</v>
      </c>
      <c r="C157" s="8">
        <v>6439</v>
      </c>
      <c r="D157" s="8">
        <v>477</v>
      </c>
      <c r="E157" s="8">
        <v>959389</v>
      </c>
      <c r="F157" s="16">
        <v>7.4744446729999998</v>
      </c>
      <c r="G157" s="17">
        <v>44742</v>
      </c>
    </row>
    <row r="158" spans="1:7" ht="15" customHeight="1" thickBot="1" x14ac:dyDescent="0.35">
      <c r="A158" s="7">
        <v>45719</v>
      </c>
      <c r="B158" s="6" t="s">
        <v>13</v>
      </c>
      <c r="C158" s="8">
        <v>7511</v>
      </c>
      <c r="D158" s="8">
        <v>880</v>
      </c>
      <c r="E158" s="8">
        <v>966020</v>
      </c>
      <c r="F158" s="16">
        <v>4.6083932010000002</v>
      </c>
      <c r="G158" s="17">
        <v>29675</v>
      </c>
    </row>
    <row r="159" spans="1:7" ht="15" customHeight="1" thickBot="1" x14ac:dyDescent="0.35">
      <c r="A159" s="7">
        <v>45719</v>
      </c>
      <c r="B159" s="6" t="s">
        <v>18</v>
      </c>
      <c r="C159" s="8">
        <v>8504</v>
      </c>
      <c r="D159" s="8">
        <v>1072</v>
      </c>
      <c r="E159" s="8">
        <v>973452</v>
      </c>
      <c r="F159" s="16">
        <v>6.5651927370000003</v>
      </c>
      <c r="G159" s="17">
        <v>18461</v>
      </c>
    </row>
    <row r="160" spans="1:7" ht="15" customHeight="1" thickBot="1" x14ac:dyDescent="0.35">
      <c r="A160" s="7">
        <v>45719</v>
      </c>
      <c r="B160" s="6" t="s">
        <v>40</v>
      </c>
      <c r="C160" s="8">
        <v>2246</v>
      </c>
      <c r="D160" s="8">
        <v>165</v>
      </c>
      <c r="E160" s="8">
        <v>975533</v>
      </c>
      <c r="F160" s="16">
        <v>2.9062061460000002</v>
      </c>
      <c r="G160" s="17">
        <v>27015</v>
      </c>
    </row>
    <row r="161" spans="1:7" ht="15" customHeight="1" thickBot="1" x14ac:dyDescent="0.35">
      <c r="A161" s="7">
        <v>45719</v>
      </c>
      <c r="B161" s="6" t="s">
        <v>40</v>
      </c>
      <c r="C161" s="8">
        <v>4839</v>
      </c>
      <c r="D161" s="8">
        <v>594</v>
      </c>
      <c r="E161" s="8">
        <v>979778</v>
      </c>
      <c r="F161" s="16">
        <v>2.5803804540000002</v>
      </c>
      <c r="G161" s="17">
        <v>42591</v>
      </c>
    </row>
    <row r="162" spans="1:7" ht="15" customHeight="1" thickBot="1" x14ac:dyDescent="0.35">
      <c r="A162" s="7">
        <v>45726</v>
      </c>
      <c r="B162" s="6" t="s">
        <v>40</v>
      </c>
      <c r="C162" s="8">
        <v>9551</v>
      </c>
      <c r="D162" s="8">
        <v>828</v>
      </c>
      <c r="E162" s="8">
        <v>988501</v>
      </c>
      <c r="F162" s="16">
        <v>1.5250363929999999</v>
      </c>
      <c r="G162" s="17">
        <v>38047</v>
      </c>
    </row>
    <row r="163" spans="1:7" ht="15" customHeight="1" thickBot="1" x14ac:dyDescent="0.35">
      <c r="A163" s="7">
        <v>45726</v>
      </c>
      <c r="B163" s="6" t="s">
        <v>22</v>
      </c>
      <c r="C163" s="8">
        <v>3376</v>
      </c>
      <c r="D163" s="8">
        <v>382</v>
      </c>
      <c r="E163" s="8">
        <v>991495</v>
      </c>
      <c r="F163" s="16">
        <v>3.869409326</v>
      </c>
      <c r="G163" s="17">
        <v>44782</v>
      </c>
    </row>
    <row r="164" spans="1:7" ht="15" customHeight="1" thickBot="1" x14ac:dyDescent="0.35">
      <c r="A164" s="7">
        <v>45726</v>
      </c>
      <c r="B164" s="6" t="s">
        <v>13</v>
      </c>
      <c r="C164" s="8">
        <v>4009</v>
      </c>
      <c r="D164" s="8">
        <v>454</v>
      </c>
      <c r="E164" s="8">
        <v>995050</v>
      </c>
      <c r="F164" s="16">
        <v>2.110647706</v>
      </c>
      <c r="G164" s="17">
        <v>19833</v>
      </c>
    </row>
    <row r="165" spans="1:7" ht="15" customHeight="1" thickBot="1" x14ac:dyDescent="0.35">
      <c r="A165" s="7">
        <v>45726</v>
      </c>
      <c r="B165" s="6" t="s">
        <v>18</v>
      </c>
      <c r="C165" s="8">
        <v>2827</v>
      </c>
      <c r="D165" s="8">
        <v>292</v>
      </c>
      <c r="E165" s="8">
        <v>997585</v>
      </c>
      <c r="F165" s="16">
        <v>2.4004972009999999</v>
      </c>
      <c r="G165" s="17">
        <v>17896</v>
      </c>
    </row>
    <row r="166" spans="1:7" ht="15" customHeight="1" thickBot="1" x14ac:dyDescent="0.35">
      <c r="A166" s="7">
        <v>45733</v>
      </c>
      <c r="B166" s="6" t="s">
        <v>18</v>
      </c>
      <c r="C166" s="8">
        <v>7979</v>
      </c>
      <c r="D166" s="8">
        <v>470</v>
      </c>
      <c r="E166" s="8">
        <v>1005094</v>
      </c>
      <c r="F166" s="16">
        <v>10.430865170000001</v>
      </c>
      <c r="G166" s="17">
        <v>42972</v>
      </c>
    </row>
    <row r="167" spans="1:7" ht="15" customHeight="1" thickBot="1" x14ac:dyDescent="0.35">
      <c r="A167" s="7">
        <v>45733</v>
      </c>
      <c r="B167" s="6" t="s">
        <v>22</v>
      </c>
      <c r="C167" s="8">
        <v>9569</v>
      </c>
      <c r="D167" s="8">
        <v>1277</v>
      </c>
      <c r="E167" s="8">
        <v>1013386</v>
      </c>
      <c r="F167" s="16">
        <v>12.455175029999999</v>
      </c>
      <c r="G167" s="17">
        <v>59733</v>
      </c>
    </row>
    <row r="168" spans="1:7" ht="15" customHeight="1" thickBot="1" x14ac:dyDescent="0.35">
      <c r="A168" s="7">
        <v>45733</v>
      </c>
      <c r="B168" s="6" t="s">
        <v>18</v>
      </c>
      <c r="C168" s="8">
        <v>5285</v>
      </c>
      <c r="D168" s="8">
        <v>433</v>
      </c>
      <c r="E168" s="8">
        <v>1018238</v>
      </c>
      <c r="F168" s="16">
        <v>8.7022876769999993</v>
      </c>
      <c r="G168" s="17">
        <v>51800</v>
      </c>
    </row>
    <row r="169" spans="1:7" ht="15" customHeight="1" thickBot="1" x14ac:dyDescent="0.35">
      <c r="A169" s="7">
        <v>45733</v>
      </c>
      <c r="B169" s="6" t="s">
        <v>18</v>
      </c>
      <c r="C169" s="8">
        <v>7910</v>
      </c>
      <c r="D169" s="8">
        <v>543</v>
      </c>
      <c r="E169" s="8">
        <v>1025605</v>
      </c>
      <c r="F169" s="16">
        <v>6.0590578239999999</v>
      </c>
      <c r="G169" s="17">
        <v>40508</v>
      </c>
    </row>
    <row r="170" spans="1:7" ht="15" customHeight="1" thickBot="1" x14ac:dyDescent="0.35">
      <c r="A170" s="7">
        <v>45740</v>
      </c>
      <c r="B170" s="6" t="s">
        <v>18</v>
      </c>
      <c r="C170" s="8">
        <v>9561</v>
      </c>
      <c r="D170" s="8">
        <v>517</v>
      </c>
      <c r="E170" s="8">
        <v>1034649</v>
      </c>
      <c r="F170" s="16">
        <v>6.4086467970000003</v>
      </c>
      <c r="G170" s="17">
        <v>15347</v>
      </c>
    </row>
    <row r="171" spans="1:7" ht="15" customHeight="1" thickBot="1" x14ac:dyDescent="0.35">
      <c r="A171" s="7">
        <v>45740</v>
      </c>
      <c r="B171" s="6" t="s">
        <v>18</v>
      </c>
      <c r="C171" s="8">
        <v>3196</v>
      </c>
      <c r="D171" s="8">
        <v>348</v>
      </c>
      <c r="E171" s="8">
        <v>1037497</v>
      </c>
      <c r="F171" s="16">
        <v>14.03040202</v>
      </c>
      <c r="G171" s="17">
        <v>40314</v>
      </c>
    </row>
    <row r="172" spans="1:7" ht="15" customHeight="1" thickBot="1" x14ac:dyDescent="0.35">
      <c r="A172" s="7">
        <v>45740</v>
      </c>
      <c r="B172" s="6" t="s">
        <v>13</v>
      </c>
      <c r="C172" s="8">
        <v>4747</v>
      </c>
      <c r="D172" s="8">
        <v>558</v>
      </c>
      <c r="E172" s="8">
        <v>1041686</v>
      </c>
      <c r="F172" s="16">
        <v>5.768052945</v>
      </c>
      <c r="G172" s="17">
        <v>12643</v>
      </c>
    </row>
    <row r="173" spans="1:7" ht="15" customHeight="1" thickBot="1" x14ac:dyDescent="0.35">
      <c r="A173" s="7">
        <v>45740</v>
      </c>
      <c r="B173" s="6" t="s">
        <v>18</v>
      </c>
      <c r="C173" s="8">
        <v>9843</v>
      </c>
      <c r="D173" s="8">
        <v>508</v>
      </c>
      <c r="E173" s="8">
        <v>1051021</v>
      </c>
      <c r="F173" s="16">
        <v>4.2080986009999997</v>
      </c>
      <c r="G173" s="17">
        <v>50785</v>
      </c>
    </row>
    <row r="174" spans="1:7" ht="15" customHeight="1" thickBot="1" x14ac:dyDescent="0.35">
      <c r="A174" s="7">
        <v>45747</v>
      </c>
      <c r="B174" s="6" t="s">
        <v>40</v>
      </c>
      <c r="C174" s="8">
        <v>6978</v>
      </c>
      <c r="D174" s="8">
        <v>706</v>
      </c>
      <c r="E174" s="8">
        <v>1057293</v>
      </c>
      <c r="F174" s="16">
        <v>5.057443868</v>
      </c>
      <c r="G174" s="17">
        <v>28681</v>
      </c>
    </row>
    <row r="175" spans="1:7" ht="15" customHeight="1" thickBot="1" x14ac:dyDescent="0.35">
      <c r="A175" s="7">
        <v>45747</v>
      </c>
      <c r="B175" s="6" t="s">
        <v>22</v>
      </c>
      <c r="C175" s="8">
        <v>6607</v>
      </c>
      <c r="D175" s="8">
        <v>479</v>
      </c>
      <c r="E175" s="8">
        <v>1063421</v>
      </c>
      <c r="F175" s="16">
        <v>5.5892257159999996</v>
      </c>
      <c r="G175" s="17">
        <v>48328</v>
      </c>
    </row>
    <row r="176" spans="1:7" ht="15" customHeight="1" thickBot="1" x14ac:dyDescent="0.35">
      <c r="A176" s="7">
        <v>45747</v>
      </c>
      <c r="B176" s="6" t="s">
        <v>13</v>
      </c>
      <c r="C176" s="8">
        <v>1769</v>
      </c>
      <c r="D176" s="8">
        <v>202</v>
      </c>
      <c r="E176" s="8">
        <v>1064988</v>
      </c>
      <c r="F176" s="16">
        <v>6.5457075570000001</v>
      </c>
      <c r="G176" s="17">
        <v>25892</v>
      </c>
    </row>
    <row r="177" spans="1:7" ht="15" customHeight="1" thickBot="1" x14ac:dyDescent="0.35">
      <c r="A177" s="7">
        <v>45747</v>
      </c>
      <c r="B177" s="6" t="s">
        <v>18</v>
      </c>
      <c r="C177" s="8">
        <v>1780</v>
      </c>
      <c r="D177" s="8">
        <v>120</v>
      </c>
      <c r="E177" s="8">
        <v>1066648</v>
      </c>
      <c r="F177" s="16">
        <v>13.86474263</v>
      </c>
      <c r="G177" s="17">
        <v>57299</v>
      </c>
    </row>
    <row r="178" spans="1:7" ht="15" customHeight="1" thickBot="1" x14ac:dyDescent="0.35">
      <c r="A178" s="7">
        <v>45754</v>
      </c>
      <c r="B178" s="6" t="s">
        <v>13</v>
      </c>
      <c r="C178" s="8">
        <v>7303</v>
      </c>
      <c r="D178" s="8">
        <v>869</v>
      </c>
      <c r="E178" s="8">
        <v>1073082</v>
      </c>
      <c r="F178" s="16">
        <v>8.1237966900000007</v>
      </c>
      <c r="G178" s="17">
        <v>27073</v>
      </c>
    </row>
    <row r="179" spans="1:7" ht="15" customHeight="1" thickBot="1" x14ac:dyDescent="0.35">
      <c r="A179" s="7">
        <v>45754</v>
      </c>
      <c r="B179" s="6" t="s">
        <v>18</v>
      </c>
      <c r="C179" s="8">
        <v>4983</v>
      </c>
      <c r="D179" s="8">
        <v>441</v>
      </c>
      <c r="E179" s="8">
        <v>1077624</v>
      </c>
      <c r="F179" s="16">
        <v>6.895447763</v>
      </c>
      <c r="G179" s="17">
        <v>46768</v>
      </c>
    </row>
    <row r="180" spans="1:7" ht="15" customHeight="1" thickBot="1" x14ac:dyDescent="0.35">
      <c r="A180" s="7">
        <v>45754</v>
      </c>
      <c r="B180" s="6" t="s">
        <v>40</v>
      </c>
      <c r="C180" s="8">
        <v>9714</v>
      </c>
      <c r="D180" s="8">
        <v>1395</v>
      </c>
      <c r="E180" s="8">
        <v>1085943</v>
      </c>
      <c r="F180" s="16">
        <v>5.2243073530000004</v>
      </c>
      <c r="G180" s="17">
        <v>40682</v>
      </c>
    </row>
    <row r="181" spans="1:7" ht="15" customHeight="1" thickBot="1" x14ac:dyDescent="0.35">
      <c r="A181" s="7">
        <v>45754</v>
      </c>
      <c r="B181" s="6" t="s">
        <v>22</v>
      </c>
      <c r="C181" s="8">
        <v>1521</v>
      </c>
      <c r="D181" s="8">
        <v>96</v>
      </c>
      <c r="E181" s="8">
        <v>1087368</v>
      </c>
      <c r="F181" s="16">
        <v>12.70977259</v>
      </c>
      <c r="G181" s="17">
        <v>42262</v>
      </c>
    </row>
    <row r="182" spans="1:7" ht="15" customHeight="1" thickBot="1" x14ac:dyDescent="0.35">
      <c r="A182" s="7">
        <v>45761</v>
      </c>
      <c r="B182" s="6" t="s">
        <v>18</v>
      </c>
      <c r="C182" s="8">
        <v>8569</v>
      </c>
      <c r="D182" s="8">
        <v>720</v>
      </c>
      <c r="E182" s="8">
        <v>1095217</v>
      </c>
      <c r="F182" s="16">
        <v>9.5896977490000008</v>
      </c>
      <c r="G182" s="17">
        <v>41358</v>
      </c>
    </row>
    <row r="183" spans="1:7" ht="15" customHeight="1" thickBot="1" x14ac:dyDescent="0.35">
      <c r="A183" s="7">
        <v>45761</v>
      </c>
      <c r="B183" s="6" t="s">
        <v>18</v>
      </c>
      <c r="C183" s="8">
        <v>6784</v>
      </c>
      <c r="D183" s="8">
        <v>416</v>
      </c>
      <c r="E183" s="8">
        <v>1101585</v>
      </c>
      <c r="F183" s="16">
        <v>9.3041390360000005</v>
      </c>
      <c r="G183" s="17">
        <v>24289</v>
      </c>
    </row>
    <row r="184" spans="1:7" ht="15" customHeight="1" thickBot="1" x14ac:dyDescent="0.35">
      <c r="A184" s="7">
        <v>45761</v>
      </c>
      <c r="B184" s="6" t="s">
        <v>18</v>
      </c>
      <c r="C184" s="8">
        <v>5583</v>
      </c>
      <c r="D184" s="8">
        <v>795</v>
      </c>
      <c r="E184" s="8">
        <v>1106373</v>
      </c>
      <c r="F184" s="16">
        <v>12.215500560000001</v>
      </c>
      <c r="G184" s="17">
        <v>59823</v>
      </c>
    </row>
    <row r="185" spans="1:7" ht="15" customHeight="1" thickBot="1" x14ac:dyDescent="0.35">
      <c r="A185" s="7">
        <v>45761</v>
      </c>
      <c r="B185" s="6" t="s">
        <v>18</v>
      </c>
      <c r="C185" s="8">
        <v>6946</v>
      </c>
      <c r="D185" s="8">
        <v>956</v>
      </c>
      <c r="E185" s="8">
        <v>1112363</v>
      </c>
      <c r="F185" s="16">
        <v>1.6414605659999999</v>
      </c>
      <c r="G185" s="17">
        <v>17927</v>
      </c>
    </row>
    <row r="186" spans="1:7" ht="15" customHeight="1" thickBot="1" x14ac:dyDescent="0.35">
      <c r="A186" s="7">
        <v>45768</v>
      </c>
      <c r="B186" s="6" t="s">
        <v>22</v>
      </c>
      <c r="C186" s="8">
        <v>5941</v>
      </c>
      <c r="D186" s="8">
        <v>450</v>
      </c>
      <c r="E186" s="8">
        <v>1117854</v>
      </c>
      <c r="F186" s="16">
        <v>12.414411899999999</v>
      </c>
      <c r="G186" s="17">
        <v>58330</v>
      </c>
    </row>
    <row r="187" spans="1:7" ht="15" customHeight="1" thickBot="1" x14ac:dyDescent="0.35">
      <c r="A187" s="7">
        <v>45768</v>
      </c>
      <c r="B187" s="6" t="s">
        <v>22</v>
      </c>
      <c r="C187" s="8">
        <v>7267</v>
      </c>
      <c r="D187" s="8">
        <v>842</v>
      </c>
      <c r="E187" s="8">
        <v>1124279</v>
      </c>
      <c r="F187" s="16">
        <v>2.2102165029999998</v>
      </c>
      <c r="G187" s="17">
        <v>11171</v>
      </c>
    </row>
    <row r="188" spans="1:7" ht="15" customHeight="1" thickBot="1" x14ac:dyDescent="0.35">
      <c r="A188" s="7">
        <v>45768</v>
      </c>
      <c r="B188" s="6" t="s">
        <v>40</v>
      </c>
      <c r="C188" s="8">
        <v>8128</v>
      </c>
      <c r="D188" s="8">
        <v>1070</v>
      </c>
      <c r="E188" s="8">
        <v>1131337</v>
      </c>
      <c r="F188" s="16">
        <v>8.1114645769999996</v>
      </c>
      <c r="G188" s="17">
        <v>21918</v>
      </c>
    </row>
    <row r="189" spans="1:7" ht="15" customHeight="1" thickBot="1" x14ac:dyDescent="0.35">
      <c r="A189" s="7">
        <v>45768</v>
      </c>
      <c r="B189" s="6" t="s">
        <v>22</v>
      </c>
      <c r="C189" s="8">
        <v>3461</v>
      </c>
      <c r="D189" s="8">
        <v>365</v>
      </c>
      <c r="E189" s="8">
        <v>1134433</v>
      </c>
      <c r="F189" s="16">
        <v>10.234892670000001</v>
      </c>
      <c r="G189" s="17">
        <v>51903</v>
      </c>
    </row>
    <row r="190" spans="1:7" ht="15" customHeight="1" thickBot="1" x14ac:dyDescent="0.35">
      <c r="A190" s="7">
        <v>45775</v>
      </c>
      <c r="B190" s="6" t="s">
        <v>18</v>
      </c>
      <c r="C190" s="8">
        <v>1685</v>
      </c>
      <c r="D190" s="8">
        <v>173</v>
      </c>
      <c r="E190" s="8">
        <v>1135945</v>
      </c>
      <c r="F190" s="16">
        <v>8.7776256769999996</v>
      </c>
      <c r="G190" s="17">
        <v>49110</v>
      </c>
    </row>
    <row r="191" spans="1:7" ht="15" customHeight="1" thickBot="1" x14ac:dyDescent="0.35">
      <c r="A191" s="7">
        <v>45775</v>
      </c>
      <c r="B191" s="6" t="s">
        <v>40</v>
      </c>
      <c r="C191" s="8">
        <v>3160</v>
      </c>
      <c r="D191" s="8">
        <v>234</v>
      </c>
      <c r="E191" s="8">
        <v>1138871</v>
      </c>
      <c r="F191" s="16">
        <v>5.6959041020000001</v>
      </c>
      <c r="G191" s="17">
        <v>21929</v>
      </c>
    </row>
    <row r="192" spans="1:7" ht="15" customHeight="1" thickBot="1" x14ac:dyDescent="0.35">
      <c r="A192" s="7">
        <v>45775</v>
      </c>
      <c r="B192" s="6" t="s">
        <v>40</v>
      </c>
      <c r="C192" s="8">
        <v>8031</v>
      </c>
      <c r="D192" s="8">
        <v>476</v>
      </c>
      <c r="E192" s="8">
        <v>1146426</v>
      </c>
      <c r="F192" s="16">
        <v>11.940413080000001</v>
      </c>
      <c r="G192" s="17">
        <v>12539</v>
      </c>
    </row>
    <row r="193" spans="1:7" ht="15" customHeight="1" thickBot="1" x14ac:dyDescent="0.35">
      <c r="A193" s="7">
        <v>45775</v>
      </c>
      <c r="B193" s="6" t="s">
        <v>40</v>
      </c>
      <c r="C193" s="8">
        <v>6341</v>
      </c>
      <c r="D193" s="8">
        <v>885</v>
      </c>
      <c r="E193" s="8">
        <v>1151882</v>
      </c>
      <c r="F193" s="16">
        <v>6.3457020770000003</v>
      </c>
      <c r="G193" s="17">
        <v>46727</v>
      </c>
    </row>
    <row r="194" spans="1:7" ht="15" customHeight="1" thickBot="1" x14ac:dyDescent="0.35">
      <c r="A194" s="7">
        <v>45782</v>
      </c>
      <c r="B194" s="6" t="s">
        <v>18</v>
      </c>
      <c r="C194" s="8">
        <v>1038</v>
      </c>
      <c r="D194" s="8">
        <v>145</v>
      </c>
      <c r="E194" s="8">
        <v>1152775</v>
      </c>
      <c r="F194" s="16">
        <v>11.093752029999999</v>
      </c>
      <c r="G194" s="17">
        <v>55951</v>
      </c>
    </row>
    <row r="195" spans="1:7" ht="15" customHeight="1" thickBot="1" x14ac:dyDescent="0.35">
      <c r="A195" s="7">
        <v>45782</v>
      </c>
      <c r="B195" s="6" t="s">
        <v>13</v>
      </c>
      <c r="C195" s="8">
        <v>5875</v>
      </c>
      <c r="D195" s="8">
        <v>665</v>
      </c>
      <c r="E195" s="8">
        <v>1157985</v>
      </c>
      <c r="F195" s="16">
        <v>6.9871371389999997</v>
      </c>
      <c r="G195" s="17">
        <v>32669</v>
      </c>
    </row>
    <row r="196" spans="1:7" ht="15" customHeight="1" thickBot="1" x14ac:dyDescent="0.35">
      <c r="A196" s="7">
        <v>45782</v>
      </c>
      <c r="B196" s="6" t="s">
        <v>18</v>
      </c>
      <c r="C196" s="8">
        <v>2256</v>
      </c>
      <c r="D196" s="8">
        <v>189</v>
      </c>
      <c r="E196" s="8">
        <v>1160052</v>
      </c>
      <c r="F196" s="16">
        <v>2.8935771840000002</v>
      </c>
      <c r="G196" s="17">
        <v>15432</v>
      </c>
    </row>
    <row r="197" spans="1:7" ht="15" customHeight="1" thickBot="1" x14ac:dyDescent="0.35">
      <c r="A197" s="7">
        <v>45782</v>
      </c>
      <c r="B197" s="6" t="s">
        <v>22</v>
      </c>
      <c r="C197" s="8">
        <v>8697</v>
      </c>
      <c r="D197" s="8">
        <v>738</v>
      </c>
      <c r="E197" s="8">
        <v>1168011</v>
      </c>
      <c r="F197" s="16">
        <v>3.8777032070000002</v>
      </c>
      <c r="G197" s="17">
        <v>30644</v>
      </c>
    </row>
    <row r="198" spans="1:7" ht="15" customHeight="1" thickBot="1" x14ac:dyDescent="0.35">
      <c r="A198" s="7">
        <v>45789</v>
      </c>
      <c r="B198" s="6" t="s">
        <v>22</v>
      </c>
      <c r="C198" s="8">
        <v>3196</v>
      </c>
      <c r="D198" s="8">
        <v>391</v>
      </c>
      <c r="E198" s="8">
        <v>1170816</v>
      </c>
      <c r="F198" s="16">
        <v>7.243922188</v>
      </c>
      <c r="G198" s="17">
        <v>28745</v>
      </c>
    </row>
    <row r="199" spans="1:7" ht="15" customHeight="1" thickBot="1" x14ac:dyDescent="0.35">
      <c r="A199" s="7">
        <v>45789</v>
      </c>
      <c r="B199" s="6" t="s">
        <v>18</v>
      </c>
      <c r="C199" s="8">
        <v>8165</v>
      </c>
      <c r="D199" s="8">
        <v>1140</v>
      </c>
      <c r="E199" s="8">
        <v>1177841</v>
      </c>
      <c r="F199" s="16">
        <v>9.0959645659999993</v>
      </c>
      <c r="G199" s="17">
        <v>38228</v>
      </c>
    </row>
    <row r="200" spans="1:7" ht="15" customHeight="1" thickBot="1" x14ac:dyDescent="0.35">
      <c r="A200" s="7">
        <v>45789</v>
      </c>
      <c r="B200" s="6" t="s">
        <v>18</v>
      </c>
      <c r="C200" s="8">
        <v>1301</v>
      </c>
      <c r="D200" s="8">
        <v>180</v>
      </c>
      <c r="E200" s="8">
        <v>1178962</v>
      </c>
      <c r="F200" s="16">
        <v>5.2275645859999997</v>
      </c>
      <c r="G200" s="17">
        <v>44521</v>
      </c>
    </row>
    <row r="201" spans="1:7" ht="15" customHeight="1" x14ac:dyDescent="0.3">
      <c r="A201" s="18">
        <v>45789</v>
      </c>
      <c r="B201" s="10" t="s">
        <v>40</v>
      </c>
      <c r="C201" s="12">
        <v>8527</v>
      </c>
      <c r="D201" s="12">
        <v>1091</v>
      </c>
      <c r="E201" s="12">
        <v>1186398</v>
      </c>
      <c r="F201" s="19">
        <v>1.67608172</v>
      </c>
      <c r="G201" s="20">
        <v>41703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1878-BE7B-4112-87AA-E3294DDD8C9D}">
  <dimension ref="A1:G6"/>
  <sheetViews>
    <sheetView topLeftCell="B1" workbookViewId="0">
      <selection activeCell="B1" sqref="A1:XFD1048576"/>
    </sheetView>
  </sheetViews>
  <sheetFormatPr defaultColWidth="26.6640625" defaultRowHeight="19.2" customHeight="1" x14ac:dyDescent="0.3"/>
  <cols>
    <col min="5" max="5" width="26.6640625" style="22"/>
    <col min="6" max="6" width="26.6640625" style="13"/>
    <col min="7" max="7" width="26.6640625" style="21"/>
  </cols>
  <sheetData>
    <row r="1" spans="1:7" ht="19.2" customHeight="1" thickBot="1" x14ac:dyDescent="0.35">
      <c r="A1" s="1" t="s">
        <v>343</v>
      </c>
      <c r="B1" s="2" t="s">
        <v>344</v>
      </c>
      <c r="C1" s="2" t="s">
        <v>345</v>
      </c>
      <c r="D1" s="2" t="s">
        <v>346</v>
      </c>
      <c r="E1" s="23" t="s">
        <v>342</v>
      </c>
      <c r="F1" s="3" t="s">
        <v>10</v>
      </c>
      <c r="G1" s="24" t="s">
        <v>347</v>
      </c>
    </row>
    <row r="2" spans="1:7" ht="19.2" customHeight="1" thickBot="1" x14ac:dyDescent="0.35">
      <c r="A2" s="6" t="s">
        <v>29</v>
      </c>
      <c r="B2" s="7">
        <v>45458</v>
      </c>
      <c r="C2" s="7">
        <v>45488</v>
      </c>
      <c r="D2" s="6" t="s">
        <v>348</v>
      </c>
      <c r="E2" s="25">
        <v>85000</v>
      </c>
      <c r="F2" s="8">
        <v>950000</v>
      </c>
      <c r="G2" s="26">
        <v>0.45</v>
      </c>
    </row>
    <row r="3" spans="1:7" ht="19.2" customHeight="1" thickBot="1" x14ac:dyDescent="0.35">
      <c r="A3" s="6" t="s">
        <v>45</v>
      </c>
      <c r="B3" s="7">
        <v>45566</v>
      </c>
      <c r="C3" s="7">
        <v>45596</v>
      </c>
      <c r="D3" s="6" t="s">
        <v>349</v>
      </c>
      <c r="E3" s="25">
        <v>60000</v>
      </c>
      <c r="F3" s="8">
        <v>780000</v>
      </c>
      <c r="G3" s="26">
        <v>0.38</v>
      </c>
    </row>
    <row r="4" spans="1:7" ht="19.2" customHeight="1" thickBot="1" x14ac:dyDescent="0.35">
      <c r="A4" s="6" t="s">
        <v>16</v>
      </c>
      <c r="B4" s="7">
        <v>45651</v>
      </c>
      <c r="C4" s="7">
        <v>45667</v>
      </c>
      <c r="D4" s="6" t="s">
        <v>350</v>
      </c>
      <c r="E4" s="25">
        <v>55000</v>
      </c>
      <c r="F4" s="8">
        <v>700000</v>
      </c>
      <c r="G4" s="26">
        <v>0.41</v>
      </c>
    </row>
    <row r="5" spans="1:7" ht="19.2" customHeight="1" thickBot="1" x14ac:dyDescent="0.35">
      <c r="A5" s="6" t="s">
        <v>25</v>
      </c>
      <c r="B5" s="7">
        <v>45717</v>
      </c>
      <c r="C5" s="7">
        <v>45747</v>
      </c>
      <c r="D5" s="6" t="s">
        <v>351</v>
      </c>
      <c r="E5" s="25">
        <v>40000</v>
      </c>
      <c r="F5" s="8">
        <v>550000</v>
      </c>
      <c r="G5" s="26">
        <v>0.32</v>
      </c>
    </row>
    <row r="6" spans="1:7" ht="19.2" customHeight="1" x14ac:dyDescent="0.3">
      <c r="A6" s="10" t="s">
        <v>20</v>
      </c>
      <c r="B6" s="11">
        <v>45901</v>
      </c>
      <c r="C6" s="11">
        <v>45930</v>
      </c>
      <c r="D6" s="10" t="s">
        <v>352</v>
      </c>
      <c r="E6" s="27">
        <v>75000</v>
      </c>
      <c r="F6" s="12">
        <v>880000</v>
      </c>
      <c r="G6" s="28">
        <v>0.47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5AF03-9266-45E6-BB05-98ED64B01E43}">
  <dimension ref="A1:J568"/>
  <sheetViews>
    <sheetView workbookViewId="0">
      <selection sqref="A1:XFD1048576"/>
    </sheetView>
  </sheetViews>
  <sheetFormatPr defaultColWidth="19.44140625" defaultRowHeight="14.4" x14ac:dyDescent="0.3"/>
  <cols>
    <col min="1" max="1" width="11.44140625" customWidth="1"/>
    <col min="2" max="2" width="23.44140625" customWidth="1"/>
    <col min="10" max="10" width="96.6640625" customWidth="1"/>
  </cols>
  <sheetData>
    <row r="1" spans="1:10" ht="15.6" customHeight="1" thickBot="1" x14ac:dyDescent="0.35">
      <c r="A1" s="29" t="s">
        <v>0</v>
      </c>
      <c r="B1" s="30" t="s">
        <v>4</v>
      </c>
      <c r="C1" s="4" t="s">
        <v>353</v>
      </c>
      <c r="D1" s="5" t="s">
        <v>354</v>
      </c>
      <c r="F1" s="31" t="s">
        <v>0</v>
      </c>
      <c r="G1" s="31" t="s">
        <v>4</v>
      </c>
      <c r="H1" s="32" t="s">
        <v>8</v>
      </c>
    </row>
    <row r="2" spans="1:10" ht="15.6" customHeight="1" thickBot="1" x14ac:dyDescent="0.35">
      <c r="A2" s="6" t="s">
        <v>12</v>
      </c>
      <c r="B2" s="6" t="s">
        <v>15</v>
      </c>
      <c r="C2" t="s">
        <v>355</v>
      </c>
      <c r="D2" t="s">
        <v>356</v>
      </c>
      <c r="F2" s="33" t="s">
        <v>251</v>
      </c>
      <c r="G2" s="33" t="s">
        <v>357</v>
      </c>
      <c r="H2" s="34">
        <v>2936</v>
      </c>
    </row>
    <row r="3" spans="1:10" ht="15.6" customHeight="1" thickBot="1" x14ac:dyDescent="0.35">
      <c r="A3" s="6" t="s">
        <v>17</v>
      </c>
      <c r="B3" s="6" t="s">
        <v>19</v>
      </c>
      <c r="C3" t="s">
        <v>358</v>
      </c>
      <c r="D3" t="s">
        <v>359</v>
      </c>
      <c r="F3" s="33" t="s">
        <v>251</v>
      </c>
      <c r="G3" s="35" t="s">
        <v>32</v>
      </c>
      <c r="H3" s="34">
        <v>2936</v>
      </c>
    </row>
    <row r="4" spans="1:10" ht="15.6" customHeight="1" thickBot="1" x14ac:dyDescent="0.35">
      <c r="A4" s="6" t="s">
        <v>21</v>
      </c>
      <c r="B4" s="6" t="s">
        <v>24</v>
      </c>
      <c r="C4" t="s">
        <v>360</v>
      </c>
      <c r="D4" t="s">
        <v>361</v>
      </c>
      <c r="F4" s="33" t="s">
        <v>236</v>
      </c>
      <c r="G4" s="33" t="s">
        <v>357</v>
      </c>
      <c r="H4" s="34">
        <v>2935</v>
      </c>
    </row>
    <row r="5" spans="1:10" ht="15.6" customHeight="1" thickBot="1" x14ac:dyDescent="0.35">
      <c r="A5" s="6" t="s">
        <v>26</v>
      </c>
      <c r="B5" s="6" t="s">
        <v>28</v>
      </c>
      <c r="C5" t="s">
        <v>362</v>
      </c>
      <c r="D5" t="s">
        <v>363</v>
      </c>
      <c r="F5" s="33" t="s">
        <v>236</v>
      </c>
      <c r="G5" s="35" t="s">
        <v>32</v>
      </c>
      <c r="H5" s="34">
        <v>2935</v>
      </c>
    </row>
    <row r="6" spans="1:10" ht="15.6" customHeight="1" thickBot="1" x14ac:dyDescent="0.4">
      <c r="A6" s="6" t="s">
        <v>30</v>
      </c>
      <c r="B6" s="6" t="s">
        <v>15</v>
      </c>
      <c r="C6" t="s">
        <v>355</v>
      </c>
      <c r="D6" t="s">
        <v>356</v>
      </c>
      <c r="F6" s="33" t="s">
        <v>65</v>
      </c>
      <c r="G6" s="33" t="s">
        <v>357</v>
      </c>
      <c r="H6" s="34">
        <v>2918</v>
      </c>
      <c r="J6" s="55" t="s">
        <v>376</v>
      </c>
    </row>
    <row r="7" spans="1:10" ht="15.6" customHeight="1" thickBot="1" x14ac:dyDescent="0.4">
      <c r="A7" s="6" t="s">
        <v>31</v>
      </c>
      <c r="B7" s="6" t="s">
        <v>32</v>
      </c>
      <c r="C7" t="s">
        <v>32</v>
      </c>
      <c r="F7" s="33" t="s">
        <v>65</v>
      </c>
      <c r="G7" s="35" t="s">
        <v>32</v>
      </c>
      <c r="H7" s="34">
        <v>2918</v>
      </c>
      <c r="J7" s="56" t="s">
        <v>377</v>
      </c>
    </row>
    <row r="8" spans="1:10" ht="15.6" customHeight="1" thickBot="1" x14ac:dyDescent="0.35">
      <c r="A8" s="6" t="s">
        <v>33</v>
      </c>
      <c r="B8" s="6" t="s">
        <v>35</v>
      </c>
      <c r="C8" t="s">
        <v>364</v>
      </c>
      <c r="D8" t="s">
        <v>365</v>
      </c>
      <c r="F8" s="33" t="s">
        <v>68</v>
      </c>
      <c r="G8" s="33" t="s">
        <v>366</v>
      </c>
      <c r="H8" s="34">
        <v>2904</v>
      </c>
    </row>
    <row r="9" spans="1:10" ht="15.6" customHeight="1" thickBot="1" x14ac:dyDescent="0.35">
      <c r="A9" s="6" t="s">
        <v>36</v>
      </c>
      <c r="B9" s="6" t="s">
        <v>37</v>
      </c>
      <c r="C9" t="s">
        <v>367</v>
      </c>
      <c r="D9" t="s">
        <v>368</v>
      </c>
      <c r="F9" s="33" t="s">
        <v>68</v>
      </c>
      <c r="G9" s="35" t="s">
        <v>362</v>
      </c>
      <c r="H9" s="34">
        <v>2904</v>
      </c>
    </row>
    <row r="10" spans="1:10" ht="15.6" customHeight="1" thickBot="1" x14ac:dyDescent="0.35">
      <c r="A10" s="6" t="s">
        <v>38</v>
      </c>
      <c r="B10" s="6" t="s">
        <v>19</v>
      </c>
      <c r="C10" t="s">
        <v>358</v>
      </c>
      <c r="D10" t="s">
        <v>359</v>
      </c>
      <c r="F10" s="33" t="s">
        <v>80</v>
      </c>
      <c r="G10" s="33" t="s">
        <v>364</v>
      </c>
      <c r="H10" s="34">
        <v>2882</v>
      </c>
    </row>
    <row r="11" spans="1:10" ht="15.6" customHeight="1" thickBot="1" x14ac:dyDescent="0.35">
      <c r="A11" s="6" t="s">
        <v>39</v>
      </c>
      <c r="B11" s="6" t="s">
        <v>41</v>
      </c>
      <c r="C11" t="s">
        <v>366</v>
      </c>
      <c r="D11" t="s">
        <v>362</v>
      </c>
      <c r="F11" s="33" t="s">
        <v>80</v>
      </c>
      <c r="G11" s="35" t="s">
        <v>365</v>
      </c>
      <c r="H11" s="34">
        <v>2882</v>
      </c>
    </row>
    <row r="12" spans="1:10" ht="15.6" customHeight="1" thickBot="1" x14ac:dyDescent="0.35">
      <c r="A12" s="6" t="s">
        <v>42</v>
      </c>
      <c r="B12" s="6" t="s">
        <v>28</v>
      </c>
      <c r="C12" t="s">
        <v>362</v>
      </c>
      <c r="D12" t="s">
        <v>363</v>
      </c>
      <c r="F12" s="33" t="s">
        <v>330</v>
      </c>
      <c r="G12" s="33" t="s">
        <v>357</v>
      </c>
      <c r="H12" s="34">
        <v>2879</v>
      </c>
    </row>
    <row r="13" spans="1:10" ht="15.6" customHeight="1" thickBot="1" x14ac:dyDescent="0.35">
      <c r="A13" s="6" t="s">
        <v>43</v>
      </c>
      <c r="B13" s="6" t="s">
        <v>19</v>
      </c>
      <c r="C13" t="s">
        <v>358</v>
      </c>
      <c r="D13" t="s">
        <v>359</v>
      </c>
      <c r="F13" s="33" t="s">
        <v>330</v>
      </c>
      <c r="G13" s="35" t="s">
        <v>32</v>
      </c>
      <c r="H13" s="34">
        <v>2879</v>
      </c>
    </row>
    <row r="14" spans="1:10" ht="15.6" customHeight="1" thickBot="1" x14ac:dyDescent="0.35">
      <c r="A14" s="6" t="s">
        <v>44</v>
      </c>
      <c r="B14" s="6" t="s">
        <v>35</v>
      </c>
      <c r="C14" t="s">
        <v>364</v>
      </c>
      <c r="D14" t="s">
        <v>365</v>
      </c>
      <c r="F14" s="33" t="s">
        <v>125</v>
      </c>
      <c r="G14" s="33" t="s">
        <v>369</v>
      </c>
      <c r="H14" s="34">
        <v>2871</v>
      </c>
    </row>
    <row r="15" spans="1:10" ht="15.6" customHeight="1" thickBot="1" x14ac:dyDescent="0.35">
      <c r="A15" s="6" t="s">
        <v>46</v>
      </c>
      <c r="B15" s="6" t="s">
        <v>37</v>
      </c>
      <c r="C15" t="s">
        <v>367</v>
      </c>
      <c r="D15" t="s">
        <v>368</v>
      </c>
      <c r="F15" s="33" t="s">
        <v>125</v>
      </c>
      <c r="G15" s="35" t="s">
        <v>370</v>
      </c>
      <c r="H15" s="34">
        <v>2871</v>
      </c>
    </row>
    <row r="16" spans="1:10" ht="15.6" customHeight="1" thickBot="1" x14ac:dyDescent="0.35">
      <c r="A16" s="6" t="s">
        <v>47</v>
      </c>
      <c r="B16" s="6" t="s">
        <v>24</v>
      </c>
      <c r="C16" t="s">
        <v>360</v>
      </c>
      <c r="D16" t="s">
        <v>361</v>
      </c>
      <c r="F16" s="33" t="s">
        <v>209</v>
      </c>
      <c r="G16" s="33" t="s">
        <v>362</v>
      </c>
      <c r="H16" s="34">
        <v>2848</v>
      </c>
    </row>
    <row r="17" spans="1:8" ht="15.6" customHeight="1" thickBot="1" x14ac:dyDescent="0.35">
      <c r="A17" s="6" t="s">
        <v>48</v>
      </c>
      <c r="B17" s="6" t="s">
        <v>37</v>
      </c>
      <c r="C17" t="s">
        <v>367</v>
      </c>
      <c r="D17" t="s">
        <v>368</v>
      </c>
      <c r="F17" s="33" t="s">
        <v>209</v>
      </c>
      <c r="G17" s="35" t="s">
        <v>371</v>
      </c>
      <c r="H17" s="34">
        <v>2848</v>
      </c>
    </row>
    <row r="18" spans="1:8" ht="15.6" customHeight="1" thickBot="1" x14ac:dyDescent="0.35">
      <c r="A18" s="6" t="s">
        <v>49</v>
      </c>
      <c r="B18" s="6" t="s">
        <v>50</v>
      </c>
      <c r="C18" t="s">
        <v>362</v>
      </c>
      <c r="D18" t="s">
        <v>371</v>
      </c>
      <c r="F18" s="33" t="s">
        <v>179</v>
      </c>
      <c r="G18" s="33" t="s">
        <v>360</v>
      </c>
      <c r="H18" s="34">
        <v>2839</v>
      </c>
    </row>
    <row r="19" spans="1:8" ht="15.6" customHeight="1" thickBot="1" x14ac:dyDescent="0.35">
      <c r="A19" s="6" t="s">
        <v>51</v>
      </c>
      <c r="B19" s="6" t="s">
        <v>37</v>
      </c>
      <c r="C19" t="s">
        <v>367</v>
      </c>
      <c r="D19" t="s">
        <v>368</v>
      </c>
      <c r="F19" s="33" t="s">
        <v>179</v>
      </c>
      <c r="G19" s="35" t="s">
        <v>361</v>
      </c>
      <c r="H19" s="34">
        <v>2839</v>
      </c>
    </row>
    <row r="20" spans="1:8" ht="15.6" customHeight="1" thickBot="1" x14ac:dyDescent="0.35">
      <c r="A20" s="6" t="s">
        <v>52</v>
      </c>
      <c r="B20" s="6" t="s">
        <v>50</v>
      </c>
      <c r="C20" t="s">
        <v>362</v>
      </c>
      <c r="D20" t="s">
        <v>371</v>
      </c>
      <c r="F20" s="33" t="s">
        <v>104</v>
      </c>
      <c r="G20" s="33" t="s">
        <v>367</v>
      </c>
      <c r="H20" s="34">
        <v>2814</v>
      </c>
    </row>
    <row r="21" spans="1:8" ht="15.6" customHeight="1" thickBot="1" x14ac:dyDescent="0.35">
      <c r="A21" s="6" t="s">
        <v>53</v>
      </c>
      <c r="B21" s="6" t="s">
        <v>24</v>
      </c>
      <c r="C21" t="s">
        <v>360</v>
      </c>
      <c r="D21" t="s">
        <v>361</v>
      </c>
      <c r="F21" s="33" t="s">
        <v>104</v>
      </c>
      <c r="G21" s="35" t="s">
        <v>368</v>
      </c>
      <c r="H21" s="34">
        <v>2814</v>
      </c>
    </row>
    <row r="22" spans="1:8" ht="15.6" customHeight="1" thickBot="1" x14ac:dyDescent="0.35">
      <c r="A22" s="6" t="s">
        <v>54</v>
      </c>
      <c r="B22" s="6" t="s">
        <v>55</v>
      </c>
      <c r="C22" t="s">
        <v>357</v>
      </c>
      <c r="D22" t="s">
        <v>32</v>
      </c>
      <c r="F22" s="33" t="s">
        <v>141</v>
      </c>
      <c r="G22" s="33" t="s">
        <v>366</v>
      </c>
      <c r="H22" s="34">
        <v>2807</v>
      </c>
    </row>
    <row r="23" spans="1:8" ht="15.6" customHeight="1" thickBot="1" x14ac:dyDescent="0.35">
      <c r="A23" s="6" t="s">
        <v>56</v>
      </c>
      <c r="B23" s="6" t="s">
        <v>35</v>
      </c>
      <c r="C23" t="s">
        <v>364</v>
      </c>
      <c r="D23" t="s">
        <v>365</v>
      </c>
      <c r="F23" s="33" t="s">
        <v>141</v>
      </c>
      <c r="G23" s="35" t="s">
        <v>362</v>
      </c>
      <c r="H23" s="34">
        <v>2807</v>
      </c>
    </row>
    <row r="24" spans="1:8" ht="15.6" customHeight="1" thickBot="1" x14ac:dyDescent="0.35">
      <c r="A24" s="6" t="s">
        <v>57</v>
      </c>
      <c r="B24" s="6" t="s">
        <v>50</v>
      </c>
      <c r="C24" t="s">
        <v>362</v>
      </c>
      <c r="D24" t="s">
        <v>371</v>
      </c>
      <c r="F24" s="33" t="s">
        <v>146</v>
      </c>
      <c r="G24" s="33" t="s">
        <v>367</v>
      </c>
      <c r="H24" s="34">
        <v>2806</v>
      </c>
    </row>
    <row r="25" spans="1:8" ht="15.6" customHeight="1" thickBot="1" x14ac:dyDescent="0.35">
      <c r="A25" s="6" t="s">
        <v>58</v>
      </c>
      <c r="B25" s="6" t="s">
        <v>41</v>
      </c>
      <c r="C25" t="s">
        <v>366</v>
      </c>
      <c r="D25" t="s">
        <v>362</v>
      </c>
      <c r="F25" s="33" t="s">
        <v>146</v>
      </c>
      <c r="G25" s="35" t="s">
        <v>368</v>
      </c>
      <c r="H25" s="34">
        <v>2806</v>
      </c>
    </row>
    <row r="26" spans="1:8" ht="15.6" customHeight="1" thickBot="1" x14ac:dyDescent="0.35">
      <c r="A26" s="6" t="s">
        <v>59</v>
      </c>
      <c r="B26" s="6" t="s">
        <v>37</v>
      </c>
      <c r="C26" t="s">
        <v>367</v>
      </c>
      <c r="D26" t="s">
        <v>368</v>
      </c>
      <c r="F26" s="33" t="s">
        <v>201</v>
      </c>
      <c r="G26" s="33" t="s">
        <v>367</v>
      </c>
      <c r="H26" s="34">
        <v>2802</v>
      </c>
    </row>
    <row r="27" spans="1:8" ht="15.6" customHeight="1" thickBot="1" x14ac:dyDescent="0.35">
      <c r="A27" s="6" t="s">
        <v>60</v>
      </c>
      <c r="B27" s="6" t="s">
        <v>37</v>
      </c>
      <c r="C27" t="s">
        <v>367</v>
      </c>
      <c r="D27" t="s">
        <v>368</v>
      </c>
      <c r="F27" s="33" t="s">
        <v>201</v>
      </c>
      <c r="G27" s="35" t="s">
        <v>368</v>
      </c>
      <c r="H27" s="34">
        <v>2802</v>
      </c>
    </row>
    <row r="28" spans="1:8" ht="15.6" customHeight="1" thickBot="1" x14ac:dyDescent="0.35">
      <c r="A28" s="6" t="s">
        <v>61</v>
      </c>
      <c r="B28" s="6" t="s">
        <v>41</v>
      </c>
      <c r="C28" t="s">
        <v>366</v>
      </c>
      <c r="D28" t="s">
        <v>362</v>
      </c>
      <c r="F28" s="33" t="s">
        <v>183</v>
      </c>
      <c r="G28" s="33" t="s">
        <v>366</v>
      </c>
      <c r="H28" s="34">
        <v>2777</v>
      </c>
    </row>
    <row r="29" spans="1:8" ht="15.6" customHeight="1" thickBot="1" x14ac:dyDescent="0.35">
      <c r="A29" s="6" t="s">
        <v>62</v>
      </c>
      <c r="B29" s="6" t="s">
        <v>32</v>
      </c>
      <c r="C29" t="s">
        <v>32</v>
      </c>
      <c r="F29" s="33" t="s">
        <v>183</v>
      </c>
      <c r="G29" s="35" t="s">
        <v>362</v>
      </c>
      <c r="H29" s="34">
        <v>2777</v>
      </c>
    </row>
    <row r="30" spans="1:8" ht="15.6" customHeight="1" thickBot="1" x14ac:dyDescent="0.35">
      <c r="A30" s="6" t="s">
        <v>63</v>
      </c>
      <c r="B30" s="6" t="s">
        <v>64</v>
      </c>
      <c r="C30" t="s">
        <v>64</v>
      </c>
      <c r="F30" s="33" t="s">
        <v>73</v>
      </c>
      <c r="G30" s="33" t="s">
        <v>358</v>
      </c>
      <c r="H30" s="34">
        <v>2769</v>
      </c>
    </row>
    <row r="31" spans="1:8" ht="15.6" customHeight="1" thickBot="1" x14ac:dyDescent="0.35">
      <c r="A31" s="6" t="s">
        <v>65</v>
      </c>
      <c r="B31" s="6" t="s">
        <v>55</v>
      </c>
      <c r="C31" t="s">
        <v>357</v>
      </c>
      <c r="D31" t="s">
        <v>32</v>
      </c>
      <c r="F31" s="33" t="s">
        <v>73</v>
      </c>
      <c r="G31" s="35" t="s">
        <v>359</v>
      </c>
      <c r="H31" s="34">
        <v>2769</v>
      </c>
    </row>
    <row r="32" spans="1:8" ht="15.6" customHeight="1" thickBot="1" x14ac:dyDescent="0.35">
      <c r="A32" s="6" t="s">
        <v>66</v>
      </c>
      <c r="B32" s="6" t="s">
        <v>28</v>
      </c>
      <c r="C32" t="s">
        <v>362</v>
      </c>
      <c r="D32" t="s">
        <v>363</v>
      </c>
      <c r="F32" s="33" t="s">
        <v>335</v>
      </c>
      <c r="G32" s="33" t="s">
        <v>357</v>
      </c>
      <c r="H32" s="34">
        <v>2767</v>
      </c>
    </row>
    <row r="33" spans="1:8" ht="15.6" customHeight="1" thickBot="1" x14ac:dyDescent="0.35">
      <c r="A33" s="6" t="s">
        <v>67</v>
      </c>
      <c r="B33" s="6" t="s">
        <v>50</v>
      </c>
      <c r="C33" t="s">
        <v>362</v>
      </c>
      <c r="D33" t="s">
        <v>371</v>
      </c>
      <c r="F33" s="33" t="s">
        <v>335</v>
      </c>
      <c r="G33" s="35" t="s">
        <v>32</v>
      </c>
      <c r="H33" s="34">
        <v>2767</v>
      </c>
    </row>
    <row r="34" spans="1:8" ht="15.6" customHeight="1" thickBot="1" x14ac:dyDescent="0.35">
      <c r="A34" s="6" t="s">
        <v>68</v>
      </c>
      <c r="B34" s="6" t="s">
        <v>41</v>
      </c>
      <c r="C34" t="s">
        <v>366</v>
      </c>
      <c r="D34" t="s">
        <v>362</v>
      </c>
      <c r="F34" s="33" t="s">
        <v>105</v>
      </c>
      <c r="G34" s="33" t="s">
        <v>366</v>
      </c>
      <c r="H34" s="34">
        <v>2761</v>
      </c>
    </row>
    <row r="35" spans="1:8" ht="15.6" customHeight="1" thickBot="1" x14ac:dyDescent="0.35">
      <c r="A35" s="6" t="s">
        <v>69</v>
      </c>
      <c r="B35" s="6" t="s">
        <v>24</v>
      </c>
      <c r="C35" t="s">
        <v>360</v>
      </c>
      <c r="D35" t="s">
        <v>361</v>
      </c>
      <c r="F35" s="33" t="s">
        <v>105</v>
      </c>
      <c r="G35" s="35" t="s">
        <v>362</v>
      </c>
      <c r="H35" s="34">
        <v>2761</v>
      </c>
    </row>
    <row r="36" spans="1:8" ht="15.6" customHeight="1" thickBot="1" x14ac:dyDescent="0.35">
      <c r="A36" s="6" t="s">
        <v>70</v>
      </c>
      <c r="B36" s="6" t="s">
        <v>50</v>
      </c>
      <c r="C36" t="s">
        <v>362</v>
      </c>
      <c r="D36" t="s">
        <v>371</v>
      </c>
      <c r="F36" s="33" t="s">
        <v>127</v>
      </c>
      <c r="G36" s="33" t="s">
        <v>364</v>
      </c>
      <c r="H36" s="34">
        <v>2748</v>
      </c>
    </row>
    <row r="37" spans="1:8" ht="15.6" customHeight="1" thickBot="1" x14ac:dyDescent="0.35">
      <c r="A37" s="6" t="s">
        <v>71</v>
      </c>
      <c r="B37" s="6" t="s">
        <v>64</v>
      </c>
      <c r="C37" t="s">
        <v>64</v>
      </c>
      <c r="F37" s="33" t="s">
        <v>235</v>
      </c>
      <c r="G37" s="33" t="s">
        <v>367</v>
      </c>
      <c r="H37" s="34">
        <v>2748</v>
      </c>
    </row>
    <row r="38" spans="1:8" ht="15.6" customHeight="1" thickBot="1" x14ac:dyDescent="0.35">
      <c r="A38" s="6" t="s">
        <v>72</v>
      </c>
      <c r="B38" s="6" t="s">
        <v>24</v>
      </c>
      <c r="C38" t="s">
        <v>360</v>
      </c>
      <c r="D38" t="s">
        <v>361</v>
      </c>
      <c r="F38" s="33" t="s">
        <v>127</v>
      </c>
      <c r="G38" s="35" t="s">
        <v>365</v>
      </c>
      <c r="H38" s="34">
        <v>2748</v>
      </c>
    </row>
    <row r="39" spans="1:8" ht="15.6" customHeight="1" thickBot="1" x14ac:dyDescent="0.35">
      <c r="A39" s="6" t="s">
        <v>73</v>
      </c>
      <c r="B39" s="6" t="s">
        <v>19</v>
      </c>
      <c r="C39" t="s">
        <v>358</v>
      </c>
      <c r="D39" t="s">
        <v>359</v>
      </c>
      <c r="F39" s="33" t="s">
        <v>235</v>
      </c>
      <c r="G39" s="35" t="s">
        <v>368</v>
      </c>
      <c r="H39" s="34">
        <v>2748</v>
      </c>
    </row>
    <row r="40" spans="1:8" ht="15.6" customHeight="1" thickBot="1" x14ac:dyDescent="0.35">
      <c r="A40" s="6" t="s">
        <v>74</v>
      </c>
      <c r="B40" s="6" t="s">
        <v>35</v>
      </c>
      <c r="C40" t="s">
        <v>364</v>
      </c>
      <c r="D40" t="s">
        <v>365</v>
      </c>
      <c r="F40" s="33" t="s">
        <v>153</v>
      </c>
      <c r="G40" s="33" t="s">
        <v>362</v>
      </c>
      <c r="H40" s="34">
        <v>2744</v>
      </c>
    </row>
    <row r="41" spans="1:8" ht="15.6" customHeight="1" thickBot="1" x14ac:dyDescent="0.35">
      <c r="A41" s="6" t="s">
        <v>75</v>
      </c>
      <c r="B41" s="6" t="s">
        <v>37</v>
      </c>
      <c r="C41" t="s">
        <v>367</v>
      </c>
      <c r="D41" t="s">
        <v>368</v>
      </c>
      <c r="F41" s="33" t="s">
        <v>153</v>
      </c>
      <c r="G41" s="35" t="s">
        <v>371</v>
      </c>
      <c r="H41" s="34">
        <v>2744</v>
      </c>
    </row>
    <row r="42" spans="1:8" ht="15.6" customHeight="1" thickBot="1" x14ac:dyDescent="0.35">
      <c r="A42" s="6" t="s">
        <v>76</v>
      </c>
      <c r="B42" s="6" t="s">
        <v>19</v>
      </c>
      <c r="C42" t="s">
        <v>358</v>
      </c>
      <c r="D42" t="s">
        <v>359</v>
      </c>
      <c r="F42" s="33" t="s">
        <v>192</v>
      </c>
      <c r="G42" s="33" t="s">
        <v>364</v>
      </c>
      <c r="H42" s="34">
        <v>2734</v>
      </c>
    </row>
    <row r="43" spans="1:8" ht="15.6" customHeight="1" thickBot="1" x14ac:dyDescent="0.35">
      <c r="A43" s="6" t="s">
        <v>77</v>
      </c>
      <c r="B43" s="6" t="s">
        <v>50</v>
      </c>
      <c r="C43" t="s">
        <v>362</v>
      </c>
      <c r="D43" t="s">
        <v>371</v>
      </c>
      <c r="F43" s="33" t="s">
        <v>192</v>
      </c>
      <c r="G43" s="35" t="s">
        <v>365</v>
      </c>
      <c r="H43" s="34">
        <v>2734</v>
      </c>
    </row>
    <row r="44" spans="1:8" ht="15.6" customHeight="1" thickBot="1" x14ac:dyDescent="0.35">
      <c r="A44" s="6" t="s">
        <v>78</v>
      </c>
      <c r="B44" s="6" t="s">
        <v>64</v>
      </c>
      <c r="C44" t="s">
        <v>64</v>
      </c>
      <c r="F44" s="33" t="s">
        <v>211</v>
      </c>
      <c r="G44" s="33" t="s">
        <v>362</v>
      </c>
      <c r="H44" s="34">
        <v>2733</v>
      </c>
    </row>
    <row r="45" spans="1:8" ht="15.6" customHeight="1" thickBot="1" x14ac:dyDescent="0.35">
      <c r="A45" s="6" t="s">
        <v>79</v>
      </c>
      <c r="B45" s="6" t="s">
        <v>55</v>
      </c>
      <c r="C45" t="s">
        <v>357</v>
      </c>
      <c r="D45" t="s">
        <v>32</v>
      </c>
      <c r="F45" s="33" t="s">
        <v>211</v>
      </c>
      <c r="G45" s="35" t="s">
        <v>371</v>
      </c>
      <c r="H45" s="34">
        <v>2733</v>
      </c>
    </row>
    <row r="46" spans="1:8" ht="15.6" customHeight="1" thickBot="1" x14ac:dyDescent="0.35">
      <c r="A46" s="6" t="s">
        <v>80</v>
      </c>
      <c r="B46" s="6" t="s">
        <v>35</v>
      </c>
      <c r="C46" t="s">
        <v>364</v>
      </c>
      <c r="D46" t="s">
        <v>365</v>
      </c>
      <c r="F46" s="33" t="s">
        <v>281</v>
      </c>
      <c r="G46" s="33" t="s">
        <v>362</v>
      </c>
      <c r="H46" s="34">
        <v>2730</v>
      </c>
    </row>
    <row r="47" spans="1:8" ht="15.6" customHeight="1" thickBot="1" x14ac:dyDescent="0.35">
      <c r="A47" s="6" t="s">
        <v>81</v>
      </c>
      <c r="B47" s="6" t="s">
        <v>50</v>
      </c>
      <c r="C47" t="s">
        <v>362</v>
      </c>
      <c r="D47" t="s">
        <v>371</v>
      </c>
      <c r="F47" s="33" t="s">
        <v>281</v>
      </c>
      <c r="G47" s="35" t="s">
        <v>363</v>
      </c>
      <c r="H47" s="34">
        <v>2730</v>
      </c>
    </row>
    <row r="48" spans="1:8" ht="15.6" customHeight="1" thickBot="1" x14ac:dyDescent="0.35">
      <c r="A48" s="6" t="s">
        <v>82</v>
      </c>
      <c r="B48" s="6" t="s">
        <v>41</v>
      </c>
      <c r="C48" t="s">
        <v>366</v>
      </c>
      <c r="D48" t="s">
        <v>362</v>
      </c>
      <c r="F48" s="33" t="s">
        <v>140</v>
      </c>
      <c r="G48" s="33" t="s">
        <v>360</v>
      </c>
      <c r="H48" s="34">
        <v>2728</v>
      </c>
    </row>
    <row r="49" spans="1:8" ht="15.6" customHeight="1" thickBot="1" x14ac:dyDescent="0.35">
      <c r="A49" s="6" t="s">
        <v>83</v>
      </c>
      <c r="B49" s="6" t="s">
        <v>15</v>
      </c>
      <c r="C49" t="s">
        <v>355</v>
      </c>
      <c r="D49" t="s">
        <v>356</v>
      </c>
      <c r="F49" s="33" t="s">
        <v>140</v>
      </c>
      <c r="G49" s="35" t="s">
        <v>361</v>
      </c>
      <c r="H49" s="34">
        <v>2728</v>
      </c>
    </row>
    <row r="50" spans="1:8" ht="15.6" customHeight="1" thickBot="1" x14ac:dyDescent="0.35">
      <c r="A50" s="6" t="s">
        <v>84</v>
      </c>
      <c r="B50" s="6" t="s">
        <v>50</v>
      </c>
      <c r="C50" t="s">
        <v>362</v>
      </c>
      <c r="D50" t="s">
        <v>371</v>
      </c>
      <c r="F50" s="33" t="s">
        <v>100</v>
      </c>
      <c r="G50" s="33" t="s">
        <v>355</v>
      </c>
      <c r="H50" s="34">
        <v>2712</v>
      </c>
    </row>
    <row r="51" spans="1:8" ht="15.6" customHeight="1" thickBot="1" x14ac:dyDescent="0.35">
      <c r="A51" s="6" t="s">
        <v>85</v>
      </c>
      <c r="B51" s="6" t="s">
        <v>35</v>
      </c>
      <c r="C51" t="s">
        <v>364</v>
      </c>
      <c r="D51" t="s">
        <v>365</v>
      </c>
      <c r="F51" s="33" t="s">
        <v>100</v>
      </c>
      <c r="G51" s="35" t="s">
        <v>356</v>
      </c>
      <c r="H51" s="34">
        <v>2712</v>
      </c>
    </row>
    <row r="52" spans="1:8" ht="15.6" customHeight="1" thickBot="1" x14ac:dyDescent="0.35">
      <c r="A52" s="6" t="s">
        <v>86</v>
      </c>
      <c r="B52" s="6" t="s">
        <v>37</v>
      </c>
      <c r="C52" t="s">
        <v>367</v>
      </c>
      <c r="D52" t="s">
        <v>368</v>
      </c>
      <c r="F52" s="33" t="s">
        <v>82</v>
      </c>
      <c r="G52" s="33" t="s">
        <v>366</v>
      </c>
      <c r="H52" s="34">
        <v>2710</v>
      </c>
    </row>
    <row r="53" spans="1:8" ht="15.6" customHeight="1" thickBot="1" x14ac:dyDescent="0.35">
      <c r="A53" s="6" t="s">
        <v>87</v>
      </c>
      <c r="B53" s="6" t="s">
        <v>37</v>
      </c>
      <c r="C53" t="s">
        <v>367</v>
      </c>
      <c r="D53" t="s">
        <v>368</v>
      </c>
      <c r="F53" s="33" t="s">
        <v>82</v>
      </c>
      <c r="G53" s="35" t="s">
        <v>362</v>
      </c>
      <c r="H53" s="34">
        <v>2710</v>
      </c>
    </row>
    <row r="54" spans="1:8" ht="15.6" customHeight="1" thickBot="1" x14ac:dyDescent="0.35">
      <c r="A54" s="6" t="s">
        <v>88</v>
      </c>
      <c r="B54" s="6" t="s">
        <v>50</v>
      </c>
      <c r="C54" t="s">
        <v>362</v>
      </c>
      <c r="D54" t="s">
        <v>371</v>
      </c>
      <c r="F54" s="33" t="s">
        <v>85</v>
      </c>
      <c r="G54" s="33" t="s">
        <v>364</v>
      </c>
      <c r="H54" s="34">
        <v>2703</v>
      </c>
    </row>
    <row r="55" spans="1:8" ht="15.6" customHeight="1" thickBot="1" x14ac:dyDescent="0.35">
      <c r="A55" s="6" t="s">
        <v>89</v>
      </c>
      <c r="B55" s="6" t="s">
        <v>24</v>
      </c>
      <c r="C55" t="s">
        <v>360</v>
      </c>
      <c r="D55" t="s">
        <v>361</v>
      </c>
      <c r="F55" s="33" t="s">
        <v>85</v>
      </c>
      <c r="G55" s="35" t="s">
        <v>365</v>
      </c>
      <c r="H55" s="34">
        <v>2703</v>
      </c>
    </row>
    <row r="56" spans="1:8" ht="15.6" customHeight="1" thickBot="1" x14ac:dyDescent="0.35">
      <c r="A56" s="6" t="s">
        <v>90</v>
      </c>
      <c r="B56" s="6" t="s">
        <v>15</v>
      </c>
      <c r="C56" t="s">
        <v>355</v>
      </c>
      <c r="D56" t="s">
        <v>356</v>
      </c>
      <c r="F56" s="33" t="s">
        <v>63</v>
      </c>
      <c r="G56" s="33" t="s">
        <v>64</v>
      </c>
      <c r="H56" s="34">
        <v>2700</v>
      </c>
    </row>
    <row r="57" spans="1:8" ht="15.6" customHeight="1" thickBot="1" x14ac:dyDescent="0.35">
      <c r="A57" s="6" t="s">
        <v>91</v>
      </c>
      <c r="B57" s="6" t="s">
        <v>41</v>
      </c>
      <c r="C57" t="s">
        <v>366</v>
      </c>
      <c r="D57" t="s">
        <v>362</v>
      </c>
      <c r="F57" s="33" t="s">
        <v>48</v>
      </c>
      <c r="G57" s="33" t="s">
        <v>367</v>
      </c>
      <c r="H57" s="34">
        <v>2696</v>
      </c>
    </row>
    <row r="58" spans="1:8" ht="15.6" customHeight="1" thickBot="1" x14ac:dyDescent="0.35">
      <c r="A58" s="6" t="s">
        <v>92</v>
      </c>
      <c r="B58" s="6" t="s">
        <v>50</v>
      </c>
      <c r="C58" t="s">
        <v>362</v>
      </c>
      <c r="D58" t="s">
        <v>371</v>
      </c>
      <c r="F58" s="33" t="s">
        <v>48</v>
      </c>
      <c r="G58" s="35" t="s">
        <v>368</v>
      </c>
      <c r="H58" s="34">
        <v>2696</v>
      </c>
    </row>
    <row r="59" spans="1:8" ht="15.6" customHeight="1" thickBot="1" x14ac:dyDescent="0.35">
      <c r="A59" s="6" t="s">
        <v>93</v>
      </c>
      <c r="B59" s="6" t="s">
        <v>24</v>
      </c>
      <c r="C59" t="s">
        <v>360</v>
      </c>
      <c r="D59" t="s">
        <v>361</v>
      </c>
      <c r="F59" s="33" t="s">
        <v>61</v>
      </c>
      <c r="G59" s="33" t="s">
        <v>366</v>
      </c>
      <c r="H59" s="34">
        <v>2683</v>
      </c>
    </row>
    <row r="60" spans="1:8" ht="15.6" customHeight="1" thickBot="1" x14ac:dyDescent="0.35">
      <c r="A60" s="6" t="s">
        <v>94</v>
      </c>
      <c r="B60" s="6" t="s">
        <v>37</v>
      </c>
      <c r="C60" t="s">
        <v>367</v>
      </c>
      <c r="D60" t="s">
        <v>368</v>
      </c>
      <c r="F60" s="33" t="s">
        <v>61</v>
      </c>
      <c r="G60" s="35" t="s">
        <v>362</v>
      </c>
      <c r="H60" s="34">
        <v>2683</v>
      </c>
    </row>
    <row r="61" spans="1:8" ht="15.6" customHeight="1" thickBot="1" x14ac:dyDescent="0.35">
      <c r="A61" s="6" t="s">
        <v>95</v>
      </c>
      <c r="B61" s="6" t="s">
        <v>37</v>
      </c>
      <c r="C61" t="s">
        <v>367</v>
      </c>
      <c r="D61" t="s">
        <v>368</v>
      </c>
      <c r="F61" s="33" t="s">
        <v>112</v>
      </c>
      <c r="G61" s="33" t="s">
        <v>366</v>
      </c>
      <c r="H61" s="34">
        <v>2682</v>
      </c>
    </row>
    <row r="62" spans="1:8" ht="15.6" customHeight="1" thickBot="1" x14ac:dyDescent="0.35">
      <c r="A62" s="6" t="s">
        <v>96</v>
      </c>
      <c r="B62" s="6" t="s">
        <v>64</v>
      </c>
      <c r="C62" t="s">
        <v>64</v>
      </c>
      <c r="F62" s="33" t="s">
        <v>112</v>
      </c>
      <c r="G62" s="35" t="s">
        <v>362</v>
      </c>
      <c r="H62" s="34">
        <v>2682</v>
      </c>
    </row>
    <row r="63" spans="1:8" ht="15.6" customHeight="1" thickBot="1" x14ac:dyDescent="0.35">
      <c r="A63" s="6" t="s">
        <v>97</v>
      </c>
      <c r="B63" s="6" t="s">
        <v>50</v>
      </c>
      <c r="C63" t="s">
        <v>362</v>
      </c>
      <c r="D63" t="s">
        <v>371</v>
      </c>
      <c r="F63" s="33" t="s">
        <v>12</v>
      </c>
      <c r="G63" s="33" t="s">
        <v>355</v>
      </c>
      <c r="H63" s="34">
        <v>2675</v>
      </c>
    </row>
    <row r="64" spans="1:8" ht="15.6" customHeight="1" thickBot="1" x14ac:dyDescent="0.35">
      <c r="A64" s="6" t="s">
        <v>98</v>
      </c>
      <c r="B64" s="6" t="s">
        <v>15</v>
      </c>
      <c r="C64" t="s">
        <v>355</v>
      </c>
      <c r="D64" t="s">
        <v>356</v>
      </c>
      <c r="F64" s="33" t="s">
        <v>12</v>
      </c>
      <c r="G64" s="35" t="s">
        <v>356</v>
      </c>
      <c r="H64" s="34">
        <v>2675</v>
      </c>
    </row>
    <row r="65" spans="1:8" ht="15.6" customHeight="1" thickBot="1" x14ac:dyDescent="0.35">
      <c r="A65" s="6" t="s">
        <v>99</v>
      </c>
      <c r="B65" s="6" t="s">
        <v>32</v>
      </c>
      <c r="C65" t="s">
        <v>32</v>
      </c>
      <c r="F65" s="33" t="s">
        <v>303</v>
      </c>
      <c r="G65" s="33" t="s">
        <v>362</v>
      </c>
      <c r="H65" s="34">
        <v>2656</v>
      </c>
    </row>
    <row r="66" spans="1:8" ht="15.6" customHeight="1" thickBot="1" x14ac:dyDescent="0.35">
      <c r="A66" s="6" t="s">
        <v>100</v>
      </c>
      <c r="B66" s="6" t="s">
        <v>15</v>
      </c>
      <c r="C66" t="s">
        <v>355</v>
      </c>
      <c r="D66" t="s">
        <v>356</v>
      </c>
      <c r="F66" s="33" t="s">
        <v>303</v>
      </c>
      <c r="G66" s="35" t="s">
        <v>371</v>
      </c>
      <c r="H66" s="34">
        <v>2656</v>
      </c>
    </row>
    <row r="67" spans="1:8" ht="15.6" customHeight="1" thickBot="1" x14ac:dyDescent="0.35">
      <c r="A67" s="6" t="s">
        <v>101</v>
      </c>
      <c r="B67" s="6" t="s">
        <v>37</v>
      </c>
      <c r="C67" t="s">
        <v>367</v>
      </c>
      <c r="D67" t="s">
        <v>368</v>
      </c>
      <c r="F67" s="33" t="s">
        <v>132</v>
      </c>
      <c r="G67" s="33" t="s">
        <v>367</v>
      </c>
      <c r="H67" s="34">
        <v>2653</v>
      </c>
    </row>
    <row r="68" spans="1:8" ht="15.6" customHeight="1" thickBot="1" x14ac:dyDescent="0.35">
      <c r="A68" s="6" t="s">
        <v>102</v>
      </c>
      <c r="B68" s="6" t="s">
        <v>37</v>
      </c>
      <c r="C68" t="s">
        <v>367</v>
      </c>
      <c r="D68" t="s">
        <v>368</v>
      </c>
      <c r="F68" s="33" t="s">
        <v>132</v>
      </c>
      <c r="G68" s="35" t="s">
        <v>368</v>
      </c>
      <c r="H68" s="34">
        <v>2653</v>
      </c>
    </row>
    <row r="69" spans="1:8" ht="15.6" customHeight="1" thickBot="1" x14ac:dyDescent="0.35">
      <c r="A69" s="6" t="s">
        <v>103</v>
      </c>
      <c r="B69" s="6" t="s">
        <v>19</v>
      </c>
      <c r="C69" t="s">
        <v>358</v>
      </c>
      <c r="D69" t="s">
        <v>359</v>
      </c>
      <c r="F69" s="33" t="s">
        <v>164</v>
      </c>
      <c r="G69" s="33" t="s">
        <v>357</v>
      </c>
      <c r="H69" s="34">
        <v>2650</v>
      </c>
    </row>
    <row r="70" spans="1:8" ht="15.6" customHeight="1" thickBot="1" x14ac:dyDescent="0.35">
      <c r="A70" s="6" t="s">
        <v>104</v>
      </c>
      <c r="B70" s="6" t="s">
        <v>37</v>
      </c>
      <c r="C70" t="s">
        <v>367</v>
      </c>
      <c r="D70" t="s">
        <v>368</v>
      </c>
      <c r="F70" s="33" t="s">
        <v>164</v>
      </c>
      <c r="G70" s="35" t="s">
        <v>32</v>
      </c>
      <c r="H70" s="34">
        <v>2650</v>
      </c>
    </row>
    <row r="71" spans="1:8" ht="15.6" customHeight="1" thickBot="1" x14ac:dyDescent="0.35">
      <c r="A71" s="6" t="s">
        <v>105</v>
      </c>
      <c r="B71" s="6" t="s">
        <v>41</v>
      </c>
      <c r="C71" t="s">
        <v>366</v>
      </c>
      <c r="D71" t="s">
        <v>362</v>
      </c>
      <c r="F71" s="33" t="s">
        <v>305</v>
      </c>
      <c r="G71" s="33" t="s">
        <v>64</v>
      </c>
      <c r="H71" s="34">
        <v>2635</v>
      </c>
    </row>
    <row r="72" spans="1:8" ht="15.6" customHeight="1" thickBot="1" x14ac:dyDescent="0.35">
      <c r="A72" s="6" t="s">
        <v>106</v>
      </c>
      <c r="B72" s="6" t="s">
        <v>28</v>
      </c>
      <c r="C72" t="s">
        <v>362</v>
      </c>
      <c r="D72" t="s">
        <v>363</v>
      </c>
      <c r="F72" s="33" t="s">
        <v>248</v>
      </c>
      <c r="G72" s="33" t="s">
        <v>355</v>
      </c>
      <c r="H72" s="34">
        <v>2572</v>
      </c>
    </row>
    <row r="73" spans="1:8" ht="15.6" customHeight="1" thickBot="1" x14ac:dyDescent="0.35">
      <c r="A73" s="6" t="s">
        <v>107</v>
      </c>
      <c r="B73" s="6" t="s">
        <v>50</v>
      </c>
      <c r="C73" t="s">
        <v>362</v>
      </c>
      <c r="D73" t="s">
        <v>371</v>
      </c>
      <c r="F73" s="33" t="s">
        <v>248</v>
      </c>
      <c r="G73" s="35" t="s">
        <v>356</v>
      </c>
      <c r="H73" s="34">
        <v>2572</v>
      </c>
    </row>
    <row r="74" spans="1:8" ht="15.6" customHeight="1" thickBot="1" x14ac:dyDescent="0.35">
      <c r="A74" s="6" t="s">
        <v>108</v>
      </c>
      <c r="B74" s="6" t="s">
        <v>15</v>
      </c>
      <c r="C74" t="s">
        <v>355</v>
      </c>
      <c r="D74" t="s">
        <v>356</v>
      </c>
      <c r="F74" s="33" t="s">
        <v>46</v>
      </c>
      <c r="G74" s="33" t="s">
        <v>367</v>
      </c>
      <c r="H74" s="34">
        <v>2571</v>
      </c>
    </row>
    <row r="75" spans="1:8" ht="15.6" customHeight="1" thickBot="1" x14ac:dyDescent="0.35">
      <c r="A75" s="6" t="s">
        <v>109</v>
      </c>
      <c r="B75" s="6" t="s">
        <v>28</v>
      </c>
      <c r="C75" t="s">
        <v>362</v>
      </c>
      <c r="D75" t="s">
        <v>363</v>
      </c>
      <c r="F75" s="33" t="s">
        <v>46</v>
      </c>
      <c r="G75" s="35" t="s">
        <v>368</v>
      </c>
      <c r="H75" s="34">
        <v>2571</v>
      </c>
    </row>
    <row r="76" spans="1:8" ht="15.6" customHeight="1" thickBot="1" x14ac:dyDescent="0.35">
      <c r="A76" s="6" t="s">
        <v>110</v>
      </c>
      <c r="B76" s="6" t="s">
        <v>24</v>
      </c>
      <c r="C76" t="s">
        <v>360</v>
      </c>
      <c r="D76" t="s">
        <v>361</v>
      </c>
      <c r="F76" s="33" t="s">
        <v>270</v>
      </c>
      <c r="G76" s="33" t="s">
        <v>364</v>
      </c>
      <c r="H76" s="34">
        <v>2570</v>
      </c>
    </row>
    <row r="77" spans="1:8" ht="15.6" customHeight="1" thickBot="1" x14ac:dyDescent="0.35">
      <c r="A77" s="6" t="s">
        <v>111</v>
      </c>
      <c r="B77" s="6" t="s">
        <v>32</v>
      </c>
      <c r="C77" t="s">
        <v>32</v>
      </c>
      <c r="F77" s="33" t="s">
        <v>270</v>
      </c>
      <c r="G77" s="35" t="s">
        <v>365</v>
      </c>
      <c r="H77" s="34">
        <v>2570</v>
      </c>
    </row>
    <row r="78" spans="1:8" ht="15.6" customHeight="1" thickBot="1" x14ac:dyDescent="0.35">
      <c r="A78" s="6" t="s">
        <v>112</v>
      </c>
      <c r="B78" s="6" t="s">
        <v>41</v>
      </c>
      <c r="C78" t="s">
        <v>366</v>
      </c>
      <c r="D78" t="s">
        <v>362</v>
      </c>
      <c r="F78" s="33" t="s">
        <v>131</v>
      </c>
      <c r="G78" s="33" t="s">
        <v>362</v>
      </c>
      <c r="H78" s="34">
        <v>2557</v>
      </c>
    </row>
    <row r="79" spans="1:8" ht="15.6" customHeight="1" thickBot="1" x14ac:dyDescent="0.35">
      <c r="A79" s="6" t="s">
        <v>113</v>
      </c>
      <c r="B79" s="6" t="s">
        <v>35</v>
      </c>
      <c r="C79" t="s">
        <v>364</v>
      </c>
      <c r="D79" t="s">
        <v>365</v>
      </c>
      <c r="F79" s="33" t="s">
        <v>131</v>
      </c>
      <c r="G79" s="35" t="s">
        <v>363</v>
      </c>
      <c r="H79" s="34">
        <v>2557</v>
      </c>
    </row>
    <row r="80" spans="1:8" ht="15.6" customHeight="1" thickBot="1" x14ac:dyDescent="0.35">
      <c r="A80" s="6" t="s">
        <v>114</v>
      </c>
      <c r="B80" s="6" t="s">
        <v>115</v>
      </c>
      <c r="C80" t="s">
        <v>369</v>
      </c>
      <c r="D80" t="s">
        <v>370</v>
      </c>
      <c r="F80" s="33" t="s">
        <v>180</v>
      </c>
      <c r="G80" s="33" t="s">
        <v>357</v>
      </c>
      <c r="H80" s="34">
        <v>2555</v>
      </c>
    </row>
    <row r="81" spans="1:8" ht="15.6" customHeight="1" thickBot="1" x14ac:dyDescent="0.35">
      <c r="A81" s="6" t="s">
        <v>116</v>
      </c>
      <c r="B81" s="6" t="s">
        <v>15</v>
      </c>
      <c r="C81" t="s">
        <v>355</v>
      </c>
      <c r="D81" t="s">
        <v>356</v>
      </c>
      <c r="F81" s="33" t="s">
        <v>180</v>
      </c>
      <c r="G81" s="35" t="s">
        <v>32</v>
      </c>
      <c r="H81" s="34">
        <v>2555</v>
      </c>
    </row>
    <row r="82" spans="1:8" ht="15.6" customHeight="1" thickBot="1" x14ac:dyDescent="0.35">
      <c r="A82" s="6" t="s">
        <v>117</v>
      </c>
      <c r="B82" s="6" t="s">
        <v>28</v>
      </c>
      <c r="C82" t="s">
        <v>362</v>
      </c>
      <c r="D82" t="s">
        <v>363</v>
      </c>
      <c r="F82" s="33" t="s">
        <v>200</v>
      </c>
      <c r="G82" s="33" t="s">
        <v>358</v>
      </c>
      <c r="H82" s="34">
        <v>2553</v>
      </c>
    </row>
    <row r="83" spans="1:8" ht="15.6" customHeight="1" thickBot="1" x14ac:dyDescent="0.35">
      <c r="A83" s="6" t="s">
        <v>118</v>
      </c>
      <c r="B83" s="6" t="s">
        <v>35</v>
      </c>
      <c r="C83" t="s">
        <v>364</v>
      </c>
      <c r="D83" t="s">
        <v>365</v>
      </c>
      <c r="F83" s="33" t="s">
        <v>200</v>
      </c>
      <c r="G83" s="35" t="s">
        <v>359</v>
      </c>
      <c r="H83" s="34">
        <v>2553</v>
      </c>
    </row>
    <row r="84" spans="1:8" ht="15.6" customHeight="1" thickBot="1" x14ac:dyDescent="0.35">
      <c r="A84" s="6" t="s">
        <v>119</v>
      </c>
      <c r="B84" s="6" t="s">
        <v>32</v>
      </c>
      <c r="C84" t="s">
        <v>32</v>
      </c>
      <c r="F84" s="33" t="s">
        <v>191</v>
      </c>
      <c r="G84" s="33" t="s">
        <v>355</v>
      </c>
      <c r="H84" s="34">
        <v>2546</v>
      </c>
    </row>
    <row r="85" spans="1:8" ht="15.6" customHeight="1" thickBot="1" x14ac:dyDescent="0.35">
      <c r="A85" s="6" t="s">
        <v>120</v>
      </c>
      <c r="B85" s="6" t="s">
        <v>19</v>
      </c>
      <c r="C85" t="s">
        <v>358</v>
      </c>
      <c r="D85" t="s">
        <v>359</v>
      </c>
      <c r="F85" s="33" t="s">
        <v>191</v>
      </c>
      <c r="G85" s="35" t="s">
        <v>356</v>
      </c>
      <c r="H85" s="34">
        <v>2546</v>
      </c>
    </row>
    <row r="86" spans="1:8" ht="15.6" customHeight="1" thickBot="1" x14ac:dyDescent="0.35">
      <c r="A86" s="6" t="s">
        <v>121</v>
      </c>
      <c r="B86" s="6" t="s">
        <v>35</v>
      </c>
      <c r="C86" t="s">
        <v>364</v>
      </c>
      <c r="D86" t="s">
        <v>365</v>
      </c>
      <c r="F86" s="33" t="s">
        <v>254</v>
      </c>
      <c r="G86" s="33" t="s">
        <v>64</v>
      </c>
      <c r="H86" s="34">
        <v>2541</v>
      </c>
    </row>
    <row r="87" spans="1:8" ht="15.6" customHeight="1" thickBot="1" x14ac:dyDescent="0.35">
      <c r="A87" s="6" t="s">
        <v>122</v>
      </c>
      <c r="B87" s="6" t="s">
        <v>41</v>
      </c>
      <c r="C87" t="s">
        <v>366</v>
      </c>
      <c r="D87" t="s">
        <v>362</v>
      </c>
      <c r="F87" s="33" t="s">
        <v>123</v>
      </c>
      <c r="G87" s="33" t="s">
        <v>366</v>
      </c>
      <c r="H87" s="34">
        <v>2539</v>
      </c>
    </row>
    <row r="88" spans="1:8" ht="15.6" customHeight="1" thickBot="1" x14ac:dyDescent="0.35">
      <c r="A88" s="6" t="s">
        <v>123</v>
      </c>
      <c r="B88" s="6" t="s">
        <v>41</v>
      </c>
      <c r="C88" t="s">
        <v>366</v>
      </c>
      <c r="D88" t="s">
        <v>362</v>
      </c>
      <c r="F88" s="33" t="s">
        <v>123</v>
      </c>
      <c r="G88" s="35" t="s">
        <v>362</v>
      </c>
      <c r="H88" s="34">
        <v>2539</v>
      </c>
    </row>
    <row r="89" spans="1:8" ht="15.6" customHeight="1" thickBot="1" x14ac:dyDescent="0.35">
      <c r="A89" s="6" t="s">
        <v>124</v>
      </c>
      <c r="B89" s="6" t="s">
        <v>19</v>
      </c>
      <c r="C89" t="s">
        <v>358</v>
      </c>
      <c r="D89" t="s">
        <v>359</v>
      </c>
      <c r="F89" s="33" t="s">
        <v>156</v>
      </c>
      <c r="G89" s="33" t="s">
        <v>362</v>
      </c>
      <c r="H89" s="34">
        <v>2504</v>
      </c>
    </row>
    <row r="90" spans="1:8" ht="15.6" customHeight="1" thickBot="1" x14ac:dyDescent="0.35">
      <c r="A90" s="6" t="s">
        <v>125</v>
      </c>
      <c r="B90" s="6" t="s">
        <v>115</v>
      </c>
      <c r="C90" t="s">
        <v>369</v>
      </c>
      <c r="D90" t="s">
        <v>370</v>
      </c>
      <c r="F90" s="33" t="s">
        <v>156</v>
      </c>
      <c r="G90" s="35" t="s">
        <v>363</v>
      </c>
      <c r="H90" s="34">
        <v>2504</v>
      </c>
    </row>
    <row r="91" spans="1:8" ht="15.6" customHeight="1" thickBot="1" x14ac:dyDescent="0.35">
      <c r="A91" s="6" t="s">
        <v>126</v>
      </c>
      <c r="B91" s="6" t="s">
        <v>50</v>
      </c>
      <c r="C91" t="s">
        <v>362</v>
      </c>
      <c r="D91" t="s">
        <v>371</v>
      </c>
      <c r="F91" s="33" t="s">
        <v>332</v>
      </c>
      <c r="G91" s="33" t="s">
        <v>369</v>
      </c>
      <c r="H91" s="34">
        <v>2499</v>
      </c>
    </row>
    <row r="92" spans="1:8" ht="15.6" customHeight="1" thickBot="1" x14ac:dyDescent="0.35">
      <c r="A92" s="6" t="s">
        <v>127</v>
      </c>
      <c r="B92" s="6" t="s">
        <v>35</v>
      </c>
      <c r="C92" t="s">
        <v>364</v>
      </c>
      <c r="D92" t="s">
        <v>365</v>
      </c>
      <c r="F92" s="33" t="s">
        <v>332</v>
      </c>
      <c r="G92" s="35" t="s">
        <v>370</v>
      </c>
      <c r="H92" s="34">
        <v>2499</v>
      </c>
    </row>
    <row r="93" spans="1:8" ht="15.6" customHeight="1" thickBot="1" x14ac:dyDescent="0.35">
      <c r="A93" s="6" t="s">
        <v>128</v>
      </c>
      <c r="B93" s="6" t="s">
        <v>19</v>
      </c>
      <c r="C93" t="s">
        <v>358</v>
      </c>
      <c r="D93" t="s">
        <v>359</v>
      </c>
      <c r="F93" s="33" t="s">
        <v>76</v>
      </c>
      <c r="G93" s="33" t="s">
        <v>358</v>
      </c>
      <c r="H93" s="34">
        <v>2480</v>
      </c>
    </row>
    <row r="94" spans="1:8" ht="15.6" customHeight="1" thickBot="1" x14ac:dyDescent="0.35">
      <c r="A94" s="6" t="s">
        <v>129</v>
      </c>
      <c r="B94" s="6" t="s">
        <v>41</v>
      </c>
      <c r="C94" t="s">
        <v>366</v>
      </c>
      <c r="D94" t="s">
        <v>362</v>
      </c>
      <c r="F94" s="33" t="s">
        <v>76</v>
      </c>
      <c r="G94" s="35" t="s">
        <v>359</v>
      </c>
      <c r="H94" s="34">
        <v>2480</v>
      </c>
    </row>
    <row r="95" spans="1:8" ht="15.6" customHeight="1" thickBot="1" x14ac:dyDescent="0.35">
      <c r="A95" s="6" t="s">
        <v>130</v>
      </c>
      <c r="B95" s="6" t="s">
        <v>41</v>
      </c>
      <c r="C95" t="s">
        <v>366</v>
      </c>
      <c r="D95" t="s">
        <v>362</v>
      </c>
      <c r="F95" s="33" t="s">
        <v>257</v>
      </c>
      <c r="G95" s="33" t="s">
        <v>364</v>
      </c>
      <c r="H95" s="34">
        <v>2469</v>
      </c>
    </row>
    <row r="96" spans="1:8" ht="15.6" customHeight="1" thickBot="1" x14ac:dyDescent="0.35">
      <c r="A96" s="6" t="s">
        <v>131</v>
      </c>
      <c r="B96" s="6" t="s">
        <v>28</v>
      </c>
      <c r="C96" t="s">
        <v>362</v>
      </c>
      <c r="D96" t="s">
        <v>363</v>
      </c>
      <c r="F96" s="33" t="s">
        <v>299</v>
      </c>
      <c r="G96" s="33" t="s">
        <v>32</v>
      </c>
      <c r="H96" s="34">
        <v>2469</v>
      </c>
    </row>
    <row r="97" spans="1:8" ht="15.6" customHeight="1" thickBot="1" x14ac:dyDescent="0.35">
      <c r="A97" s="6" t="s">
        <v>132</v>
      </c>
      <c r="B97" s="6" t="s">
        <v>37</v>
      </c>
      <c r="C97" t="s">
        <v>367</v>
      </c>
      <c r="D97" t="s">
        <v>368</v>
      </c>
      <c r="F97" s="33" t="s">
        <v>257</v>
      </c>
      <c r="G97" s="35" t="s">
        <v>365</v>
      </c>
      <c r="H97" s="34">
        <v>2469</v>
      </c>
    </row>
    <row r="98" spans="1:8" ht="15.6" customHeight="1" thickBot="1" x14ac:dyDescent="0.35">
      <c r="A98" s="6" t="s">
        <v>133</v>
      </c>
      <c r="B98" s="6" t="s">
        <v>115</v>
      </c>
      <c r="C98" t="s">
        <v>369</v>
      </c>
      <c r="D98" t="s">
        <v>370</v>
      </c>
      <c r="F98" s="33" t="s">
        <v>252</v>
      </c>
      <c r="G98" s="33" t="s">
        <v>355</v>
      </c>
      <c r="H98" s="34">
        <v>2463</v>
      </c>
    </row>
    <row r="99" spans="1:8" ht="15.6" customHeight="1" thickBot="1" x14ac:dyDescent="0.35">
      <c r="A99" s="6" t="s">
        <v>134</v>
      </c>
      <c r="B99" s="6" t="s">
        <v>35</v>
      </c>
      <c r="C99" t="s">
        <v>364</v>
      </c>
      <c r="D99" t="s">
        <v>365</v>
      </c>
      <c r="F99" s="33" t="s">
        <v>252</v>
      </c>
      <c r="G99" s="35" t="s">
        <v>356</v>
      </c>
      <c r="H99" s="34">
        <v>2463</v>
      </c>
    </row>
    <row r="100" spans="1:8" ht="15.6" customHeight="1" thickBot="1" x14ac:dyDescent="0.35">
      <c r="A100" s="6" t="s">
        <v>135</v>
      </c>
      <c r="B100" s="6" t="s">
        <v>35</v>
      </c>
      <c r="C100" t="s">
        <v>364</v>
      </c>
      <c r="D100" t="s">
        <v>365</v>
      </c>
      <c r="F100" s="33" t="s">
        <v>49</v>
      </c>
      <c r="G100" s="33" t="s">
        <v>362</v>
      </c>
      <c r="H100" s="34">
        <v>2462</v>
      </c>
    </row>
    <row r="101" spans="1:8" ht="15.6" customHeight="1" thickBot="1" x14ac:dyDescent="0.35">
      <c r="A101" s="6" t="s">
        <v>136</v>
      </c>
      <c r="B101" s="6" t="s">
        <v>32</v>
      </c>
      <c r="C101" t="s">
        <v>32</v>
      </c>
      <c r="F101" s="33" t="s">
        <v>49</v>
      </c>
      <c r="G101" s="35" t="s">
        <v>371</v>
      </c>
      <c r="H101" s="34">
        <v>2462</v>
      </c>
    </row>
    <row r="102" spans="1:8" ht="15.6" customHeight="1" thickBot="1" x14ac:dyDescent="0.35">
      <c r="A102" s="6" t="s">
        <v>137</v>
      </c>
      <c r="B102" s="6" t="s">
        <v>19</v>
      </c>
      <c r="C102" t="s">
        <v>358</v>
      </c>
      <c r="D102" t="s">
        <v>359</v>
      </c>
      <c r="F102" s="33" t="s">
        <v>316</v>
      </c>
      <c r="G102" s="33" t="s">
        <v>364</v>
      </c>
      <c r="H102" s="34">
        <v>2440</v>
      </c>
    </row>
    <row r="103" spans="1:8" ht="15.6" customHeight="1" thickBot="1" x14ac:dyDescent="0.35">
      <c r="A103" s="6" t="s">
        <v>138</v>
      </c>
      <c r="B103" s="6" t="s">
        <v>32</v>
      </c>
      <c r="C103" t="s">
        <v>32</v>
      </c>
      <c r="F103" s="33" t="s">
        <v>316</v>
      </c>
      <c r="G103" s="35" t="s">
        <v>365</v>
      </c>
      <c r="H103" s="34">
        <v>2440</v>
      </c>
    </row>
    <row r="104" spans="1:8" ht="15.6" customHeight="1" thickBot="1" x14ac:dyDescent="0.35">
      <c r="A104" s="6" t="s">
        <v>139</v>
      </c>
      <c r="B104" s="6" t="s">
        <v>19</v>
      </c>
      <c r="C104" t="s">
        <v>358</v>
      </c>
      <c r="D104" t="s">
        <v>359</v>
      </c>
      <c r="F104" s="33" t="s">
        <v>241</v>
      </c>
      <c r="G104" s="33" t="s">
        <v>362</v>
      </c>
      <c r="H104" s="34">
        <v>2439</v>
      </c>
    </row>
    <row r="105" spans="1:8" ht="15.6" customHeight="1" thickBot="1" x14ac:dyDescent="0.35">
      <c r="A105" s="6" t="s">
        <v>140</v>
      </c>
      <c r="B105" s="6" t="s">
        <v>24</v>
      </c>
      <c r="C105" t="s">
        <v>360</v>
      </c>
      <c r="D105" t="s">
        <v>361</v>
      </c>
      <c r="F105" s="33" t="s">
        <v>62</v>
      </c>
      <c r="G105" s="33" t="s">
        <v>32</v>
      </c>
      <c r="H105" s="34">
        <v>2439</v>
      </c>
    </row>
    <row r="106" spans="1:8" ht="15.6" customHeight="1" thickBot="1" x14ac:dyDescent="0.35">
      <c r="A106" s="6" t="s">
        <v>141</v>
      </c>
      <c r="B106" s="6" t="s">
        <v>41</v>
      </c>
      <c r="C106" t="s">
        <v>366</v>
      </c>
      <c r="D106" t="s">
        <v>362</v>
      </c>
      <c r="F106" s="33" t="s">
        <v>241</v>
      </c>
      <c r="G106" s="35" t="s">
        <v>371</v>
      </c>
      <c r="H106" s="34">
        <v>2439</v>
      </c>
    </row>
    <row r="107" spans="1:8" ht="15.6" customHeight="1" thickBot="1" x14ac:dyDescent="0.35">
      <c r="A107" s="6" t="s">
        <v>142</v>
      </c>
      <c r="B107" s="6" t="s">
        <v>37</v>
      </c>
      <c r="C107" t="s">
        <v>367</v>
      </c>
      <c r="D107" t="s">
        <v>368</v>
      </c>
      <c r="F107" s="33" t="s">
        <v>295</v>
      </c>
      <c r="G107" s="33" t="s">
        <v>358</v>
      </c>
      <c r="H107" s="34">
        <v>2434</v>
      </c>
    </row>
    <row r="108" spans="1:8" ht="15.6" customHeight="1" thickBot="1" x14ac:dyDescent="0.35">
      <c r="A108" s="6" t="s">
        <v>143</v>
      </c>
      <c r="B108" s="6" t="s">
        <v>28</v>
      </c>
      <c r="C108" t="s">
        <v>362</v>
      </c>
      <c r="D108" t="s">
        <v>363</v>
      </c>
      <c r="F108" s="33" t="s">
        <v>295</v>
      </c>
      <c r="G108" s="35" t="s">
        <v>359</v>
      </c>
      <c r="H108" s="34">
        <v>2434</v>
      </c>
    </row>
    <row r="109" spans="1:8" ht="15.6" customHeight="1" thickBot="1" x14ac:dyDescent="0.35">
      <c r="A109" s="6" t="s">
        <v>144</v>
      </c>
      <c r="B109" s="6" t="s">
        <v>37</v>
      </c>
      <c r="C109" t="s">
        <v>367</v>
      </c>
      <c r="D109" t="s">
        <v>368</v>
      </c>
      <c r="F109" s="33" t="s">
        <v>84</v>
      </c>
      <c r="G109" s="33" t="s">
        <v>362</v>
      </c>
      <c r="H109" s="34">
        <v>2429</v>
      </c>
    </row>
    <row r="110" spans="1:8" ht="15.6" customHeight="1" thickBot="1" x14ac:dyDescent="0.35">
      <c r="A110" s="6" t="s">
        <v>145</v>
      </c>
      <c r="B110" s="6" t="s">
        <v>37</v>
      </c>
      <c r="C110" t="s">
        <v>367</v>
      </c>
      <c r="D110" t="s">
        <v>368</v>
      </c>
      <c r="F110" s="33" t="s">
        <v>84</v>
      </c>
      <c r="G110" s="35" t="s">
        <v>371</v>
      </c>
      <c r="H110" s="34">
        <v>2429</v>
      </c>
    </row>
    <row r="111" spans="1:8" ht="15.6" customHeight="1" thickBot="1" x14ac:dyDescent="0.35">
      <c r="A111" s="6" t="s">
        <v>146</v>
      </c>
      <c r="B111" s="6" t="s">
        <v>37</v>
      </c>
      <c r="C111" t="s">
        <v>367</v>
      </c>
      <c r="D111" t="s">
        <v>368</v>
      </c>
      <c r="F111" s="33" t="s">
        <v>145</v>
      </c>
      <c r="G111" s="33" t="s">
        <v>367</v>
      </c>
      <c r="H111" s="34">
        <v>2426</v>
      </c>
    </row>
    <row r="112" spans="1:8" ht="15.6" customHeight="1" thickBot="1" x14ac:dyDescent="0.35">
      <c r="A112" s="6" t="s">
        <v>147</v>
      </c>
      <c r="B112" s="6" t="s">
        <v>32</v>
      </c>
      <c r="C112" t="s">
        <v>32</v>
      </c>
      <c r="F112" s="33" t="s">
        <v>145</v>
      </c>
      <c r="G112" s="35" t="s">
        <v>368</v>
      </c>
      <c r="H112" s="34">
        <v>2426</v>
      </c>
    </row>
    <row r="113" spans="1:8" ht="15.6" customHeight="1" thickBot="1" x14ac:dyDescent="0.35">
      <c r="A113" s="6" t="s">
        <v>148</v>
      </c>
      <c r="B113" s="6" t="s">
        <v>19</v>
      </c>
      <c r="C113" t="s">
        <v>358</v>
      </c>
      <c r="D113" t="s">
        <v>359</v>
      </c>
      <c r="F113" s="33" t="s">
        <v>54</v>
      </c>
      <c r="G113" s="33" t="s">
        <v>357</v>
      </c>
      <c r="H113" s="34">
        <v>2387</v>
      </c>
    </row>
    <row r="114" spans="1:8" ht="15.6" customHeight="1" thickBot="1" x14ac:dyDescent="0.35">
      <c r="A114" s="6" t="s">
        <v>149</v>
      </c>
      <c r="B114" s="6" t="s">
        <v>55</v>
      </c>
      <c r="C114" t="s">
        <v>357</v>
      </c>
      <c r="D114" t="s">
        <v>32</v>
      </c>
      <c r="F114" s="33" t="s">
        <v>54</v>
      </c>
      <c r="G114" s="35" t="s">
        <v>32</v>
      </c>
      <c r="H114" s="34">
        <v>2387</v>
      </c>
    </row>
    <row r="115" spans="1:8" ht="15.6" customHeight="1" thickBot="1" x14ac:dyDescent="0.35">
      <c r="A115" s="6" t="s">
        <v>150</v>
      </c>
      <c r="B115" s="6" t="s">
        <v>24</v>
      </c>
      <c r="C115" t="s">
        <v>360</v>
      </c>
      <c r="D115" t="s">
        <v>361</v>
      </c>
      <c r="F115" s="33" t="s">
        <v>114</v>
      </c>
      <c r="G115" s="33" t="s">
        <v>369</v>
      </c>
      <c r="H115" s="34">
        <v>2384</v>
      </c>
    </row>
    <row r="116" spans="1:8" ht="15.6" customHeight="1" thickBot="1" x14ac:dyDescent="0.35">
      <c r="A116" s="6" t="s">
        <v>151</v>
      </c>
      <c r="B116" s="6" t="s">
        <v>15</v>
      </c>
      <c r="C116" t="s">
        <v>355</v>
      </c>
      <c r="D116" t="s">
        <v>356</v>
      </c>
      <c r="F116" s="33" t="s">
        <v>114</v>
      </c>
      <c r="G116" s="35" t="s">
        <v>370</v>
      </c>
      <c r="H116" s="34">
        <v>2384</v>
      </c>
    </row>
    <row r="117" spans="1:8" ht="15.6" customHeight="1" thickBot="1" x14ac:dyDescent="0.35">
      <c r="A117" s="6" t="s">
        <v>152</v>
      </c>
      <c r="B117" s="6" t="s">
        <v>37</v>
      </c>
      <c r="C117" t="s">
        <v>367</v>
      </c>
      <c r="D117" t="s">
        <v>368</v>
      </c>
      <c r="F117" s="33" t="s">
        <v>326</v>
      </c>
      <c r="G117" s="33" t="s">
        <v>32</v>
      </c>
      <c r="H117" s="34">
        <v>2371</v>
      </c>
    </row>
    <row r="118" spans="1:8" ht="15.6" customHeight="1" thickBot="1" x14ac:dyDescent="0.35">
      <c r="A118" s="6" t="s">
        <v>153</v>
      </c>
      <c r="B118" s="6" t="s">
        <v>50</v>
      </c>
      <c r="C118" t="s">
        <v>362</v>
      </c>
      <c r="D118" t="s">
        <v>371</v>
      </c>
      <c r="F118" s="33" t="s">
        <v>96</v>
      </c>
      <c r="G118" s="33" t="s">
        <v>64</v>
      </c>
      <c r="H118" s="34">
        <v>2364</v>
      </c>
    </row>
    <row r="119" spans="1:8" ht="15.6" customHeight="1" thickBot="1" x14ac:dyDescent="0.35">
      <c r="A119" s="6" t="s">
        <v>154</v>
      </c>
      <c r="B119" s="6" t="s">
        <v>32</v>
      </c>
      <c r="C119" t="s">
        <v>32</v>
      </c>
      <c r="F119" s="33" t="s">
        <v>225</v>
      </c>
      <c r="G119" s="33" t="s">
        <v>32</v>
      </c>
      <c r="H119" s="34">
        <v>2358</v>
      </c>
    </row>
    <row r="120" spans="1:8" ht="15.6" customHeight="1" thickBot="1" x14ac:dyDescent="0.35">
      <c r="A120" s="6" t="s">
        <v>155</v>
      </c>
      <c r="B120" s="6" t="s">
        <v>115</v>
      </c>
      <c r="C120" t="s">
        <v>369</v>
      </c>
      <c r="D120" t="s">
        <v>370</v>
      </c>
      <c r="F120" s="33" t="s">
        <v>269</v>
      </c>
      <c r="G120" s="33" t="s">
        <v>355</v>
      </c>
      <c r="H120" s="34">
        <v>2356</v>
      </c>
    </row>
    <row r="121" spans="1:8" ht="15.6" customHeight="1" thickBot="1" x14ac:dyDescent="0.35">
      <c r="A121" s="6" t="s">
        <v>156</v>
      </c>
      <c r="B121" s="6" t="s">
        <v>28</v>
      </c>
      <c r="C121" t="s">
        <v>362</v>
      </c>
      <c r="D121" t="s">
        <v>363</v>
      </c>
      <c r="F121" s="33" t="s">
        <v>269</v>
      </c>
      <c r="G121" s="35" t="s">
        <v>356</v>
      </c>
      <c r="H121" s="34">
        <v>2356</v>
      </c>
    </row>
    <row r="122" spans="1:8" ht="15.6" customHeight="1" thickBot="1" x14ac:dyDescent="0.35">
      <c r="A122" s="6" t="s">
        <v>157</v>
      </c>
      <c r="B122" s="6" t="s">
        <v>15</v>
      </c>
      <c r="C122" t="s">
        <v>355</v>
      </c>
      <c r="D122" t="s">
        <v>356</v>
      </c>
      <c r="F122" s="33" t="s">
        <v>282</v>
      </c>
      <c r="G122" s="33" t="s">
        <v>366</v>
      </c>
      <c r="H122" s="34">
        <v>2354</v>
      </c>
    </row>
    <row r="123" spans="1:8" ht="15.6" customHeight="1" thickBot="1" x14ac:dyDescent="0.35">
      <c r="A123" s="6" t="s">
        <v>158</v>
      </c>
      <c r="B123" s="6" t="s">
        <v>55</v>
      </c>
      <c r="C123" t="s">
        <v>357</v>
      </c>
      <c r="D123" t="s">
        <v>32</v>
      </c>
      <c r="F123" s="33" t="s">
        <v>75</v>
      </c>
      <c r="G123" s="33" t="s">
        <v>367</v>
      </c>
      <c r="H123" s="34">
        <v>2354</v>
      </c>
    </row>
    <row r="124" spans="1:8" ht="15.6" customHeight="1" thickBot="1" x14ac:dyDescent="0.35">
      <c r="A124" s="6" t="s">
        <v>159</v>
      </c>
      <c r="B124" s="6" t="s">
        <v>50</v>
      </c>
      <c r="C124" t="s">
        <v>362</v>
      </c>
      <c r="D124" t="s">
        <v>371</v>
      </c>
      <c r="F124" s="33" t="s">
        <v>282</v>
      </c>
      <c r="G124" s="35" t="s">
        <v>362</v>
      </c>
      <c r="H124" s="34">
        <v>2354</v>
      </c>
    </row>
    <row r="125" spans="1:8" ht="15.6" customHeight="1" thickBot="1" x14ac:dyDescent="0.35">
      <c r="A125" s="6" t="s">
        <v>160</v>
      </c>
      <c r="B125" s="6" t="s">
        <v>55</v>
      </c>
      <c r="C125" t="s">
        <v>357</v>
      </c>
      <c r="D125" t="s">
        <v>32</v>
      </c>
      <c r="F125" s="33" t="s">
        <v>75</v>
      </c>
      <c r="G125" s="35" t="s">
        <v>368</v>
      </c>
      <c r="H125" s="34">
        <v>2354</v>
      </c>
    </row>
    <row r="126" spans="1:8" ht="15.6" customHeight="1" thickBot="1" x14ac:dyDescent="0.35">
      <c r="A126" s="6" t="s">
        <v>161</v>
      </c>
      <c r="B126" s="6" t="s">
        <v>15</v>
      </c>
      <c r="C126" t="s">
        <v>355</v>
      </c>
      <c r="D126" t="s">
        <v>356</v>
      </c>
      <c r="F126" s="33" t="s">
        <v>228</v>
      </c>
      <c r="G126" s="33" t="s">
        <v>367</v>
      </c>
      <c r="H126" s="34">
        <v>2343</v>
      </c>
    </row>
    <row r="127" spans="1:8" ht="15.6" customHeight="1" thickBot="1" x14ac:dyDescent="0.35">
      <c r="A127" s="6" t="s">
        <v>162</v>
      </c>
      <c r="B127" s="6" t="s">
        <v>37</v>
      </c>
      <c r="C127" t="s">
        <v>367</v>
      </c>
      <c r="D127" t="s">
        <v>368</v>
      </c>
      <c r="F127" s="33" t="s">
        <v>246</v>
      </c>
      <c r="G127" s="33" t="s">
        <v>366</v>
      </c>
      <c r="H127" s="34">
        <v>2343</v>
      </c>
    </row>
    <row r="128" spans="1:8" ht="15.6" customHeight="1" thickBot="1" x14ac:dyDescent="0.35">
      <c r="A128" s="6" t="s">
        <v>163</v>
      </c>
      <c r="B128" s="6" t="s">
        <v>50</v>
      </c>
      <c r="C128" t="s">
        <v>362</v>
      </c>
      <c r="D128" t="s">
        <v>371</v>
      </c>
      <c r="F128" s="33" t="s">
        <v>228</v>
      </c>
      <c r="G128" s="35" t="s">
        <v>368</v>
      </c>
      <c r="H128" s="34">
        <v>2343</v>
      </c>
    </row>
    <row r="129" spans="1:8" ht="15.6" customHeight="1" thickBot="1" x14ac:dyDescent="0.35">
      <c r="A129" s="6" t="s">
        <v>164</v>
      </c>
      <c r="B129" s="6" t="s">
        <v>55</v>
      </c>
      <c r="C129" t="s">
        <v>357</v>
      </c>
      <c r="D129" t="s">
        <v>32</v>
      </c>
      <c r="F129" s="33" t="s">
        <v>246</v>
      </c>
      <c r="G129" s="35" t="s">
        <v>362</v>
      </c>
      <c r="H129" s="34">
        <v>2343</v>
      </c>
    </row>
    <row r="130" spans="1:8" ht="15.6" customHeight="1" thickBot="1" x14ac:dyDescent="0.35">
      <c r="A130" s="6" t="s">
        <v>165</v>
      </c>
      <c r="B130" s="6" t="s">
        <v>28</v>
      </c>
      <c r="C130" t="s">
        <v>362</v>
      </c>
      <c r="D130" t="s">
        <v>363</v>
      </c>
      <c r="F130" s="33" t="s">
        <v>190</v>
      </c>
      <c r="G130" s="33" t="s">
        <v>366</v>
      </c>
      <c r="H130" s="34">
        <v>2335</v>
      </c>
    </row>
    <row r="131" spans="1:8" ht="15.6" customHeight="1" thickBot="1" x14ac:dyDescent="0.35">
      <c r="A131" s="6" t="s">
        <v>166</v>
      </c>
      <c r="B131" s="6" t="s">
        <v>19</v>
      </c>
      <c r="C131" t="s">
        <v>358</v>
      </c>
      <c r="D131" t="s">
        <v>359</v>
      </c>
      <c r="F131" s="33" t="s">
        <v>190</v>
      </c>
      <c r="G131" s="35" t="s">
        <v>362</v>
      </c>
      <c r="H131" s="34">
        <v>2335</v>
      </c>
    </row>
    <row r="132" spans="1:8" ht="15.6" customHeight="1" thickBot="1" x14ac:dyDescent="0.35">
      <c r="A132" s="6" t="s">
        <v>167</v>
      </c>
      <c r="B132" s="6" t="s">
        <v>41</v>
      </c>
      <c r="C132" t="s">
        <v>366</v>
      </c>
      <c r="D132" t="s">
        <v>362</v>
      </c>
      <c r="F132" s="33" t="s">
        <v>218</v>
      </c>
      <c r="G132" s="33" t="s">
        <v>360</v>
      </c>
      <c r="H132" s="34">
        <v>2313</v>
      </c>
    </row>
    <row r="133" spans="1:8" ht="15.6" customHeight="1" thickBot="1" x14ac:dyDescent="0.35">
      <c r="A133" s="6" t="s">
        <v>168</v>
      </c>
      <c r="B133" s="6" t="s">
        <v>19</v>
      </c>
      <c r="C133" t="s">
        <v>358</v>
      </c>
      <c r="D133" t="s">
        <v>359</v>
      </c>
      <c r="F133" s="33" t="s">
        <v>218</v>
      </c>
      <c r="G133" s="35" t="s">
        <v>361</v>
      </c>
      <c r="H133" s="34">
        <v>2313</v>
      </c>
    </row>
    <row r="134" spans="1:8" ht="15.6" customHeight="1" thickBot="1" x14ac:dyDescent="0.35">
      <c r="A134" s="6" t="s">
        <v>169</v>
      </c>
      <c r="B134" s="6" t="s">
        <v>15</v>
      </c>
      <c r="C134" t="s">
        <v>355</v>
      </c>
      <c r="D134" t="s">
        <v>356</v>
      </c>
      <c r="F134" s="33" t="s">
        <v>87</v>
      </c>
      <c r="G134" s="33" t="s">
        <v>367</v>
      </c>
      <c r="H134" s="34">
        <v>2312</v>
      </c>
    </row>
    <row r="135" spans="1:8" ht="15.6" customHeight="1" thickBot="1" x14ac:dyDescent="0.35">
      <c r="A135" s="6" t="s">
        <v>170</v>
      </c>
      <c r="B135" s="6" t="s">
        <v>32</v>
      </c>
      <c r="C135" t="s">
        <v>32</v>
      </c>
      <c r="F135" s="33" t="s">
        <v>87</v>
      </c>
      <c r="G135" s="35" t="s">
        <v>368</v>
      </c>
      <c r="H135" s="34">
        <v>2312</v>
      </c>
    </row>
    <row r="136" spans="1:8" ht="15.6" customHeight="1" thickBot="1" x14ac:dyDescent="0.35">
      <c r="A136" s="6" t="s">
        <v>171</v>
      </c>
      <c r="B136" s="6" t="s">
        <v>41</v>
      </c>
      <c r="C136" t="s">
        <v>366</v>
      </c>
      <c r="D136" t="s">
        <v>362</v>
      </c>
      <c r="F136" s="33" t="s">
        <v>148</v>
      </c>
      <c r="G136" s="33" t="s">
        <v>358</v>
      </c>
      <c r="H136" s="34">
        <v>2306</v>
      </c>
    </row>
    <row r="137" spans="1:8" ht="15.6" customHeight="1" thickBot="1" x14ac:dyDescent="0.35">
      <c r="A137" s="6" t="s">
        <v>172</v>
      </c>
      <c r="B137" s="6" t="s">
        <v>24</v>
      </c>
      <c r="C137" t="s">
        <v>360</v>
      </c>
      <c r="D137" t="s">
        <v>361</v>
      </c>
      <c r="F137" s="33" t="s">
        <v>148</v>
      </c>
      <c r="G137" s="35" t="s">
        <v>359</v>
      </c>
      <c r="H137" s="34">
        <v>2306</v>
      </c>
    </row>
    <row r="138" spans="1:8" ht="15.6" customHeight="1" thickBot="1" x14ac:dyDescent="0.35">
      <c r="A138" s="6" t="s">
        <v>173</v>
      </c>
      <c r="B138" s="6" t="s">
        <v>28</v>
      </c>
      <c r="C138" t="s">
        <v>362</v>
      </c>
      <c r="D138" t="s">
        <v>363</v>
      </c>
      <c r="F138" s="33" t="s">
        <v>152</v>
      </c>
      <c r="G138" s="33" t="s">
        <v>367</v>
      </c>
      <c r="H138" s="34">
        <v>2300</v>
      </c>
    </row>
    <row r="139" spans="1:8" ht="15.6" customHeight="1" thickBot="1" x14ac:dyDescent="0.35">
      <c r="A139" s="6" t="s">
        <v>174</v>
      </c>
      <c r="B139" s="6" t="s">
        <v>24</v>
      </c>
      <c r="C139" t="s">
        <v>360</v>
      </c>
      <c r="D139" t="s">
        <v>361</v>
      </c>
      <c r="F139" s="33" t="s">
        <v>152</v>
      </c>
      <c r="G139" s="35" t="s">
        <v>368</v>
      </c>
      <c r="H139" s="34">
        <v>2300</v>
      </c>
    </row>
    <row r="140" spans="1:8" ht="15.6" customHeight="1" thickBot="1" x14ac:dyDescent="0.35">
      <c r="A140" s="6" t="s">
        <v>175</v>
      </c>
      <c r="B140" s="6" t="s">
        <v>50</v>
      </c>
      <c r="C140" t="s">
        <v>362</v>
      </c>
      <c r="D140" t="s">
        <v>371</v>
      </c>
      <c r="F140" s="33" t="s">
        <v>56</v>
      </c>
      <c r="G140" s="33" t="s">
        <v>364</v>
      </c>
      <c r="H140" s="34">
        <v>2296</v>
      </c>
    </row>
    <row r="141" spans="1:8" ht="15.6" customHeight="1" thickBot="1" x14ac:dyDescent="0.35">
      <c r="A141" s="6" t="s">
        <v>176</v>
      </c>
      <c r="B141" s="6" t="s">
        <v>35</v>
      </c>
      <c r="C141" t="s">
        <v>364</v>
      </c>
      <c r="D141" t="s">
        <v>365</v>
      </c>
      <c r="F141" s="33" t="s">
        <v>56</v>
      </c>
      <c r="G141" s="35" t="s">
        <v>365</v>
      </c>
      <c r="H141" s="34">
        <v>2296</v>
      </c>
    </row>
    <row r="142" spans="1:8" ht="15.6" customHeight="1" thickBot="1" x14ac:dyDescent="0.35">
      <c r="A142" s="6" t="s">
        <v>177</v>
      </c>
      <c r="B142" s="6" t="s">
        <v>41</v>
      </c>
      <c r="C142" t="s">
        <v>366</v>
      </c>
      <c r="D142" t="s">
        <v>362</v>
      </c>
      <c r="F142" s="33" t="s">
        <v>264</v>
      </c>
      <c r="G142" s="33" t="s">
        <v>360</v>
      </c>
      <c r="H142" s="34">
        <v>2294</v>
      </c>
    </row>
    <row r="143" spans="1:8" ht="15.6" customHeight="1" thickBot="1" x14ac:dyDescent="0.35">
      <c r="A143" s="6" t="s">
        <v>178</v>
      </c>
      <c r="B143" s="6" t="s">
        <v>24</v>
      </c>
      <c r="C143" t="s">
        <v>360</v>
      </c>
      <c r="D143" t="s">
        <v>361</v>
      </c>
      <c r="F143" s="33" t="s">
        <v>264</v>
      </c>
      <c r="G143" s="35" t="s">
        <v>361</v>
      </c>
      <c r="H143" s="34">
        <v>2294</v>
      </c>
    </row>
    <row r="144" spans="1:8" ht="15.6" customHeight="1" thickBot="1" x14ac:dyDescent="0.35">
      <c r="A144" s="6" t="s">
        <v>179</v>
      </c>
      <c r="B144" s="6" t="s">
        <v>24</v>
      </c>
      <c r="C144" t="s">
        <v>360</v>
      </c>
      <c r="D144" t="s">
        <v>361</v>
      </c>
      <c r="F144" s="33" t="s">
        <v>307</v>
      </c>
      <c r="G144" s="33" t="s">
        <v>360</v>
      </c>
      <c r="H144" s="34">
        <v>2289</v>
      </c>
    </row>
    <row r="145" spans="1:8" ht="15.6" customHeight="1" thickBot="1" x14ac:dyDescent="0.35">
      <c r="A145" s="6" t="s">
        <v>180</v>
      </c>
      <c r="B145" s="6" t="s">
        <v>55</v>
      </c>
      <c r="C145" t="s">
        <v>357</v>
      </c>
      <c r="D145" t="s">
        <v>32</v>
      </c>
      <c r="F145" s="33" t="s">
        <v>307</v>
      </c>
      <c r="G145" s="35" t="s">
        <v>361</v>
      </c>
      <c r="H145" s="34">
        <v>2289</v>
      </c>
    </row>
    <row r="146" spans="1:8" ht="15.6" customHeight="1" thickBot="1" x14ac:dyDescent="0.35">
      <c r="A146" s="6" t="s">
        <v>181</v>
      </c>
      <c r="B146" s="6" t="s">
        <v>19</v>
      </c>
      <c r="C146" t="s">
        <v>358</v>
      </c>
      <c r="D146" t="s">
        <v>359</v>
      </c>
      <c r="F146" s="33" t="s">
        <v>266</v>
      </c>
      <c r="G146" s="33" t="s">
        <v>32</v>
      </c>
      <c r="H146" s="34">
        <v>2286</v>
      </c>
    </row>
    <row r="147" spans="1:8" ht="15.6" customHeight="1" thickBot="1" x14ac:dyDescent="0.35">
      <c r="A147" s="6" t="s">
        <v>182</v>
      </c>
      <c r="B147" s="6" t="s">
        <v>55</v>
      </c>
      <c r="C147" t="s">
        <v>357</v>
      </c>
      <c r="D147" t="s">
        <v>32</v>
      </c>
      <c r="F147" s="33" t="s">
        <v>90</v>
      </c>
      <c r="G147" s="33" t="s">
        <v>355</v>
      </c>
      <c r="H147" s="34">
        <v>2285</v>
      </c>
    </row>
    <row r="148" spans="1:8" ht="15.6" customHeight="1" thickBot="1" x14ac:dyDescent="0.35">
      <c r="A148" s="6" t="s">
        <v>183</v>
      </c>
      <c r="B148" s="6" t="s">
        <v>41</v>
      </c>
      <c r="C148" t="s">
        <v>366</v>
      </c>
      <c r="D148" t="s">
        <v>362</v>
      </c>
      <c r="F148" s="33" t="s">
        <v>90</v>
      </c>
      <c r="G148" s="35" t="s">
        <v>356</v>
      </c>
      <c r="H148" s="34">
        <v>2285</v>
      </c>
    </row>
    <row r="149" spans="1:8" ht="15.6" customHeight="1" thickBot="1" x14ac:dyDescent="0.35">
      <c r="A149" s="6" t="s">
        <v>184</v>
      </c>
      <c r="B149" s="6" t="s">
        <v>41</v>
      </c>
      <c r="C149" t="s">
        <v>366</v>
      </c>
      <c r="D149" t="s">
        <v>362</v>
      </c>
      <c r="F149" s="33" t="s">
        <v>317</v>
      </c>
      <c r="G149" s="33" t="s">
        <v>362</v>
      </c>
      <c r="H149" s="34">
        <v>2282</v>
      </c>
    </row>
    <row r="150" spans="1:8" ht="15.6" customHeight="1" thickBot="1" x14ac:dyDescent="0.35">
      <c r="A150" s="6" t="s">
        <v>185</v>
      </c>
      <c r="B150" s="6" t="s">
        <v>15</v>
      </c>
      <c r="C150" t="s">
        <v>355</v>
      </c>
      <c r="D150" t="s">
        <v>356</v>
      </c>
      <c r="F150" s="33" t="s">
        <v>317</v>
      </c>
      <c r="G150" s="35" t="s">
        <v>371</v>
      </c>
      <c r="H150" s="34">
        <v>2282</v>
      </c>
    </row>
    <row r="151" spans="1:8" ht="15.6" customHeight="1" thickBot="1" x14ac:dyDescent="0.35">
      <c r="A151" s="6" t="s">
        <v>186</v>
      </c>
      <c r="B151" s="6" t="s">
        <v>55</v>
      </c>
      <c r="C151" t="s">
        <v>357</v>
      </c>
      <c r="D151" t="s">
        <v>32</v>
      </c>
      <c r="F151" s="33" t="s">
        <v>173</v>
      </c>
      <c r="G151" s="33" t="s">
        <v>362</v>
      </c>
      <c r="H151" s="34">
        <v>2280</v>
      </c>
    </row>
    <row r="152" spans="1:8" ht="15.6" customHeight="1" thickBot="1" x14ac:dyDescent="0.35">
      <c r="A152" s="6" t="s">
        <v>187</v>
      </c>
      <c r="B152" s="6" t="s">
        <v>64</v>
      </c>
      <c r="C152" t="s">
        <v>64</v>
      </c>
      <c r="F152" s="33" t="s">
        <v>173</v>
      </c>
      <c r="G152" s="35" t="s">
        <v>363</v>
      </c>
      <c r="H152" s="34">
        <v>2280</v>
      </c>
    </row>
    <row r="153" spans="1:8" ht="15.6" customHeight="1" thickBot="1" x14ac:dyDescent="0.35">
      <c r="A153" s="6" t="s">
        <v>188</v>
      </c>
      <c r="B153" s="6" t="s">
        <v>115</v>
      </c>
      <c r="C153" t="s">
        <v>369</v>
      </c>
      <c r="D153" t="s">
        <v>370</v>
      </c>
      <c r="F153" s="33" t="s">
        <v>324</v>
      </c>
      <c r="G153" s="33" t="s">
        <v>367</v>
      </c>
      <c r="H153" s="34">
        <v>2277</v>
      </c>
    </row>
    <row r="154" spans="1:8" ht="15.6" customHeight="1" thickBot="1" x14ac:dyDescent="0.35">
      <c r="A154" s="6" t="s">
        <v>189</v>
      </c>
      <c r="B154" s="6" t="s">
        <v>19</v>
      </c>
      <c r="C154" t="s">
        <v>358</v>
      </c>
      <c r="D154" t="s">
        <v>359</v>
      </c>
      <c r="F154" s="33" t="s">
        <v>324</v>
      </c>
      <c r="G154" s="35" t="s">
        <v>368</v>
      </c>
      <c r="H154" s="34">
        <v>2277</v>
      </c>
    </row>
    <row r="155" spans="1:8" ht="15.6" customHeight="1" thickBot="1" x14ac:dyDescent="0.35">
      <c r="A155" s="6" t="s">
        <v>190</v>
      </c>
      <c r="B155" s="6" t="s">
        <v>41</v>
      </c>
      <c r="C155" t="s">
        <v>366</v>
      </c>
      <c r="D155" t="s">
        <v>362</v>
      </c>
      <c r="F155" s="33" t="s">
        <v>168</v>
      </c>
      <c r="G155" s="33" t="s">
        <v>358</v>
      </c>
      <c r="H155" s="34">
        <v>2276</v>
      </c>
    </row>
    <row r="156" spans="1:8" ht="15.6" customHeight="1" thickBot="1" x14ac:dyDescent="0.35">
      <c r="A156" s="6" t="s">
        <v>191</v>
      </c>
      <c r="B156" s="6" t="s">
        <v>15</v>
      </c>
      <c r="C156" t="s">
        <v>355</v>
      </c>
      <c r="D156" t="s">
        <v>356</v>
      </c>
      <c r="F156" s="33" t="s">
        <v>168</v>
      </c>
      <c r="G156" s="35" t="s">
        <v>359</v>
      </c>
      <c r="H156" s="34">
        <v>2276</v>
      </c>
    </row>
    <row r="157" spans="1:8" ht="15.6" customHeight="1" thickBot="1" x14ac:dyDescent="0.35">
      <c r="A157" s="6" t="s">
        <v>192</v>
      </c>
      <c r="B157" s="6" t="s">
        <v>35</v>
      </c>
      <c r="C157" t="s">
        <v>364</v>
      </c>
      <c r="D157" t="s">
        <v>365</v>
      </c>
      <c r="F157" s="33" t="s">
        <v>195</v>
      </c>
      <c r="G157" s="33" t="s">
        <v>364</v>
      </c>
      <c r="H157" s="34">
        <v>2263</v>
      </c>
    </row>
    <row r="158" spans="1:8" ht="15.6" customHeight="1" thickBot="1" x14ac:dyDescent="0.35">
      <c r="A158" s="6" t="s">
        <v>193</v>
      </c>
      <c r="B158" s="6" t="s">
        <v>55</v>
      </c>
      <c r="C158" t="s">
        <v>357</v>
      </c>
      <c r="D158" t="s">
        <v>32</v>
      </c>
      <c r="F158" s="33" t="s">
        <v>195</v>
      </c>
      <c r="G158" s="35" t="s">
        <v>365</v>
      </c>
      <c r="H158" s="34">
        <v>2263</v>
      </c>
    </row>
    <row r="159" spans="1:8" ht="15.6" customHeight="1" thickBot="1" x14ac:dyDescent="0.35">
      <c r="A159" s="6" t="s">
        <v>194</v>
      </c>
      <c r="B159" s="6" t="s">
        <v>19</v>
      </c>
      <c r="C159" t="s">
        <v>358</v>
      </c>
      <c r="D159" t="s">
        <v>359</v>
      </c>
      <c r="F159" s="33" t="s">
        <v>244</v>
      </c>
      <c r="G159" s="33" t="s">
        <v>358</v>
      </c>
      <c r="H159" s="34">
        <v>2251</v>
      </c>
    </row>
    <row r="160" spans="1:8" ht="15.6" customHeight="1" thickBot="1" x14ac:dyDescent="0.35">
      <c r="A160" s="6" t="s">
        <v>195</v>
      </c>
      <c r="B160" s="6" t="s">
        <v>35</v>
      </c>
      <c r="C160" t="s">
        <v>364</v>
      </c>
      <c r="D160" t="s">
        <v>365</v>
      </c>
      <c r="F160" s="33" t="s">
        <v>244</v>
      </c>
      <c r="G160" s="35" t="s">
        <v>359</v>
      </c>
      <c r="H160" s="34">
        <v>2251</v>
      </c>
    </row>
    <row r="161" spans="1:8" ht="15.6" customHeight="1" thickBot="1" x14ac:dyDescent="0.35">
      <c r="A161" s="6" t="s">
        <v>196</v>
      </c>
      <c r="B161" s="6" t="s">
        <v>55</v>
      </c>
      <c r="C161" t="s">
        <v>357</v>
      </c>
      <c r="D161" t="s">
        <v>32</v>
      </c>
      <c r="F161" s="33" t="s">
        <v>250</v>
      </c>
      <c r="G161" s="33" t="s">
        <v>360</v>
      </c>
      <c r="H161" s="34">
        <v>2249</v>
      </c>
    </row>
    <row r="162" spans="1:8" ht="15.6" customHeight="1" thickBot="1" x14ac:dyDescent="0.35">
      <c r="A162" s="6" t="s">
        <v>197</v>
      </c>
      <c r="B162" s="6" t="s">
        <v>24</v>
      </c>
      <c r="C162" t="s">
        <v>360</v>
      </c>
      <c r="D162" t="s">
        <v>361</v>
      </c>
      <c r="F162" s="33" t="s">
        <v>250</v>
      </c>
      <c r="G162" s="35" t="s">
        <v>361</v>
      </c>
      <c r="H162" s="34">
        <v>2249</v>
      </c>
    </row>
    <row r="163" spans="1:8" ht="15.6" customHeight="1" thickBot="1" x14ac:dyDescent="0.35">
      <c r="A163" s="6" t="s">
        <v>198</v>
      </c>
      <c r="B163" s="6" t="s">
        <v>35</v>
      </c>
      <c r="C163" t="s">
        <v>364</v>
      </c>
      <c r="D163" t="s">
        <v>365</v>
      </c>
      <c r="F163" s="33" t="s">
        <v>302</v>
      </c>
      <c r="G163" s="33" t="s">
        <v>366</v>
      </c>
      <c r="H163" s="34">
        <v>2227</v>
      </c>
    </row>
    <row r="164" spans="1:8" ht="15.6" customHeight="1" thickBot="1" x14ac:dyDescent="0.35">
      <c r="A164" s="6" t="s">
        <v>199</v>
      </c>
      <c r="B164" s="6" t="s">
        <v>15</v>
      </c>
      <c r="C164" t="s">
        <v>355</v>
      </c>
      <c r="D164" t="s">
        <v>356</v>
      </c>
      <c r="F164" s="33" t="s">
        <v>302</v>
      </c>
      <c r="G164" s="35" t="s">
        <v>362</v>
      </c>
      <c r="H164" s="34">
        <v>2227</v>
      </c>
    </row>
    <row r="165" spans="1:8" ht="15.6" customHeight="1" thickBot="1" x14ac:dyDescent="0.35">
      <c r="A165" s="6" t="s">
        <v>200</v>
      </c>
      <c r="B165" s="6" t="s">
        <v>19</v>
      </c>
      <c r="C165" t="s">
        <v>358</v>
      </c>
      <c r="D165" t="s">
        <v>359</v>
      </c>
      <c r="F165" s="33" t="s">
        <v>268</v>
      </c>
      <c r="G165" s="33" t="s">
        <v>367</v>
      </c>
      <c r="H165" s="34">
        <v>2225</v>
      </c>
    </row>
    <row r="166" spans="1:8" ht="15.6" customHeight="1" thickBot="1" x14ac:dyDescent="0.35">
      <c r="A166" s="6" t="s">
        <v>201</v>
      </c>
      <c r="B166" s="6" t="s">
        <v>37</v>
      </c>
      <c r="C166" t="s">
        <v>367</v>
      </c>
      <c r="D166" t="s">
        <v>368</v>
      </c>
      <c r="F166" s="33" t="s">
        <v>268</v>
      </c>
      <c r="G166" s="35" t="s">
        <v>368</v>
      </c>
      <c r="H166" s="34">
        <v>2225</v>
      </c>
    </row>
    <row r="167" spans="1:8" ht="15.6" customHeight="1" thickBot="1" x14ac:dyDescent="0.35">
      <c r="A167" s="6" t="s">
        <v>202</v>
      </c>
      <c r="B167" s="6" t="s">
        <v>50</v>
      </c>
      <c r="C167" t="s">
        <v>362</v>
      </c>
      <c r="D167" t="s">
        <v>371</v>
      </c>
      <c r="F167" s="33" t="s">
        <v>263</v>
      </c>
      <c r="G167" s="33" t="s">
        <v>358</v>
      </c>
      <c r="H167" s="34">
        <v>2195</v>
      </c>
    </row>
    <row r="168" spans="1:8" ht="15.6" customHeight="1" thickBot="1" x14ac:dyDescent="0.35">
      <c r="A168" s="6" t="s">
        <v>203</v>
      </c>
      <c r="B168" s="6" t="s">
        <v>50</v>
      </c>
      <c r="C168" t="s">
        <v>362</v>
      </c>
      <c r="D168" t="s">
        <v>371</v>
      </c>
      <c r="F168" s="33" t="s">
        <v>263</v>
      </c>
      <c r="G168" s="35" t="s">
        <v>359</v>
      </c>
      <c r="H168" s="34">
        <v>2195</v>
      </c>
    </row>
    <row r="169" spans="1:8" ht="15.6" customHeight="1" thickBot="1" x14ac:dyDescent="0.35">
      <c r="A169" s="6" t="s">
        <v>204</v>
      </c>
      <c r="B169" s="6" t="s">
        <v>19</v>
      </c>
      <c r="C169" t="s">
        <v>358</v>
      </c>
      <c r="D169" t="s">
        <v>359</v>
      </c>
      <c r="F169" s="33" t="s">
        <v>53</v>
      </c>
      <c r="G169" s="33" t="s">
        <v>360</v>
      </c>
      <c r="H169" s="34">
        <v>2189</v>
      </c>
    </row>
    <row r="170" spans="1:8" ht="15.6" customHeight="1" thickBot="1" x14ac:dyDescent="0.35">
      <c r="A170" s="6" t="s">
        <v>205</v>
      </c>
      <c r="B170" s="6" t="s">
        <v>35</v>
      </c>
      <c r="C170" t="s">
        <v>364</v>
      </c>
      <c r="D170" t="s">
        <v>365</v>
      </c>
      <c r="F170" s="33" t="s">
        <v>53</v>
      </c>
      <c r="G170" s="35" t="s">
        <v>361</v>
      </c>
      <c r="H170" s="34">
        <v>2189</v>
      </c>
    </row>
    <row r="171" spans="1:8" ht="15.6" customHeight="1" thickBot="1" x14ac:dyDescent="0.35">
      <c r="A171" s="6" t="s">
        <v>206</v>
      </c>
      <c r="B171" s="6" t="s">
        <v>55</v>
      </c>
      <c r="C171" t="s">
        <v>357</v>
      </c>
      <c r="D171" t="s">
        <v>32</v>
      </c>
      <c r="F171" s="33" t="s">
        <v>119</v>
      </c>
      <c r="G171" s="33" t="s">
        <v>32</v>
      </c>
      <c r="H171" s="34">
        <v>2187</v>
      </c>
    </row>
    <row r="172" spans="1:8" ht="15.6" customHeight="1" thickBot="1" x14ac:dyDescent="0.35">
      <c r="A172" s="6" t="s">
        <v>207</v>
      </c>
      <c r="B172" s="6" t="s">
        <v>15</v>
      </c>
      <c r="C172" t="s">
        <v>355</v>
      </c>
      <c r="D172" t="s">
        <v>356</v>
      </c>
      <c r="F172" s="33" t="s">
        <v>276</v>
      </c>
      <c r="G172" s="33" t="s">
        <v>364</v>
      </c>
      <c r="H172" s="34">
        <v>2183</v>
      </c>
    </row>
    <row r="173" spans="1:8" ht="15.6" customHeight="1" thickBot="1" x14ac:dyDescent="0.35">
      <c r="A173" s="6" t="s">
        <v>208</v>
      </c>
      <c r="B173" s="6" t="s">
        <v>115</v>
      </c>
      <c r="C173" t="s">
        <v>369</v>
      </c>
      <c r="D173" t="s">
        <v>370</v>
      </c>
      <c r="F173" s="33" t="s">
        <v>276</v>
      </c>
      <c r="G173" s="35" t="s">
        <v>365</v>
      </c>
      <c r="H173" s="34">
        <v>2183</v>
      </c>
    </row>
    <row r="174" spans="1:8" ht="15.6" customHeight="1" thickBot="1" x14ac:dyDescent="0.35">
      <c r="A174" s="6" t="s">
        <v>209</v>
      </c>
      <c r="B174" s="6" t="s">
        <v>50</v>
      </c>
      <c r="C174" t="s">
        <v>362</v>
      </c>
      <c r="D174" t="s">
        <v>371</v>
      </c>
      <c r="F174" s="33" t="s">
        <v>203</v>
      </c>
      <c r="G174" s="33" t="s">
        <v>362</v>
      </c>
      <c r="H174" s="34">
        <v>2175</v>
      </c>
    </row>
    <row r="175" spans="1:8" ht="15.6" customHeight="1" thickBot="1" x14ac:dyDescent="0.35">
      <c r="A175" s="6" t="s">
        <v>210</v>
      </c>
      <c r="B175" s="6" t="s">
        <v>15</v>
      </c>
      <c r="C175" t="s">
        <v>355</v>
      </c>
      <c r="D175" t="s">
        <v>356</v>
      </c>
      <c r="F175" s="33" t="s">
        <v>203</v>
      </c>
      <c r="G175" s="35" t="s">
        <v>371</v>
      </c>
      <c r="H175" s="34">
        <v>2175</v>
      </c>
    </row>
    <row r="176" spans="1:8" ht="15.6" customHeight="1" thickBot="1" x14ac:dyDescent="0.35">
      <c r="A176" s="6" t="s">
        <v>211</v>
      </c>
      <c r="B176" s="6" t="s">
        <v>50</v>
      </c>
      <c r="C176" t="s">
        <v>362</v>
      </c>
      <c r="D176" t="s">
        <v>371</v>
      </c>
      <c r="F176" s="33" t="s">
        <v>174</v>
      </c>
      <c r="G176" s="33" t="s">
        <v>360</v>
      </c>
      <c r="H176" s="34">
        <v>2155</v>
      </c>
    </row>
    <row r="177" spans="1:8" ht="15.6" customHeight="1" thickBot="1" x14ac:dyDescent="0.35">
      <c r="A177" s="6" t="s">
        <v>212</v>
      </c>
      <c r="B177" s="6" t="s">
        <v>24</v>
      </c>
      <c r="C177" t="s">
        <v>360</v>
      </c>
      <c r="D177" t="s">
        <v>361</v>
      </c>
      <c r="F177" s="33" t="s">
        <v>174</v>
      </c>
      <c r="G177" s="35" t="s">
        <v>361</v>
      </c>
      <c r="H177" s="34">
        <v>2155</v>
      </c>
    </row>
    <row r="178" spans="1:8" ht="15.6" customHeight="1" thickBot="1" x14ac:dyDescent="0.35">
      <c r="A178" s="6" t="s">
        <v>213</v>
      </c>
      <c r="B178" s="6" t="s">
        <v>55</v>
      </c>
      <c r="C178" t="s">
        <v>357</v>
      </c>
      <c r="D178" t="s">
        <v>32</v>
      </c>
      <c r="F178" s="33" t="s">
        <v>158</v>
      </c>
      <c r="G178" s="33" t="s">
        <v>357</v>
      </c>
      <c r="H178" s="34">
        <v>2123</v>
      </c>
    </row>
    <row r="179" spans="1:8" ht="15.6" customHeight="1" thickBot="1" x14ac:dyDescent="0.35">
      <c r="A179" s="6" t="s">
        <v>214</v>
      </c>
      <c r="B179" s="6" t="s">
        <v>24</v>
      </c>
      <c r="C179" t="s">
        <v>360</v>
      </c>
      <c r="D179" t="s">
        <v>361</v>
      </c>
      <c r="F179" s="33" t="s">
        <v>158</v>
      </c>
      <c r="G179" s="35" t="s">
        <v>32</v>
      </c>
      <c r="H179" s="34">
        <v>2123</v>
      </c>
    </row>
    <row r="180" spans="1:8" ht="15.6" customHeight="1" thickBot="1" x14ac:dyDescent="0.35">
      <c r="A180" s="6" t="s">
        <v>215</v>
      </c>
      <c r="B180" s="6" t="s">
        <v>50</v>
      </c>
      <c r="C180" t="s">
        <v>362</v>
      </c>
      <c r="D180" t="s">
        <v>371</v>
      </c>
      <c r="F180" s="33" t="s">
        <v>177</v>
      </c>
      <c r="G180" s="33" t="s">
        <v>366</v>
      </c>
      <c r="H180" s="34">
        <v>2109</v>
      </c>
    </row>
    <row r="181" spans="1:8" ht="15.6" customHeight="1" thickBot="1" x14ac:dyDescent="0.35">
      <c r="A181" s="6" t="s">
        <v>216</v>
      </c>
      <c r="B181" s="6" t="s">
        <v>37</v>
      </c>
      <c r="C181" t="s">
        <v>367</v>
      </c>
      <c r="D181" t="s">
        <v>368</v>
      </c>
      <c r="F181" s="33" t="s">
        <v>177</v>
      </c>
      <c r="G181" s="35" t="s">
        <v>362</v>
      </c>
      <c r="H181" s="34">
        <v>2109</v>
      </c>
    </row>
    <row r="182" spans="1:8" ht="15.6" customHeight="1" thickBot="1" x14ac:dyDescent="0.35">
      <c r="A182" s="6" t="s">
        <v>217</v>
      </c>
      <c r="B182" s="6" t="s">
        <v>37</v>
      </c>
      <c r="C182" t="s">
        <v>367</v>
      </c>
      <c r="D182" t="s">
        <v>368</v>
      </c>
      <c r="F182" s="33" t="s">
        <v>57</v>
      </c>
      <c r="G182" s="33" t="s">
        <v>362</v>
      </c>
      <c r="H182" s="34">
        <v>2072</v>
      </c>
    </row>
    <row r="183" spans="1:8" ht="15.6" customHeight="1" thickBot="1" x14ac:dyDescent="0.35">
      <c r="A183" s="6" t="s">
        <v>218</v>
      </c>
      <c r="B183" s="6" t="s">
        <v>24</v>
      </c>
      <c r="C183" t="s">
        <v>360</v>
      </c>
      <c r="D183" t="s">
        <v>361</v>
      </c>
      <c r="F183" s="33" t="s">
        <v>57</v>
      </c>
      <c r="G183" s="35" t="s">
        <v>371</v>
      </c>
      <c r="H183" s="34">
        <v>2072</v>
      </c>
    </row>
    <row r="184" spans="1:8" ht="15.6" customHeight="1" thickBot="1" x14ac:dyDescent="0.35">
      <c r="A184" s="6" t="s">
        <v>219</v>
      </c>
      <c r="B184" s="6" t="s">
        <v>37</v>
      </c>
      <c r="C184" t="s">
        <v>367</v>
      </c>
      <c r="D184" t="s">
        <v>368</v>
      </c>
      <c r="F184" s="33" t="s">
        <v>249</v>
      </c>
      <c r="G184" s="33" t="s">
        <v>366</v>
      </c>
      <c r="H184" s="34">
        <v>2068</v>
      </c>
    </row>
    <row r="185" spans="1:8" ht="15.6" customHeight="1" thickBot="1" x14ac:dyDescent="0.35">
      <c r="A185" s="6" t="s">
        <v>220</v>
      </c>
      <c r="B185" s="6" t="s">
        <v>50</v>
      </c>
      <c r="C185" t="s">
        <v>362</v>
      </c>
      <c r="D185" t="s">
        <v>371</v>
      </c>
      <c r="F185" s="33" t="s">
        <v>249</v>
      </c>
      <c r="G185" s="35" t="s">
        <v>362</v>
      </c>
      <c r="H185" s="34">
        <v>2068</v>
      </c>
    </row>
    <row r="186" spans="1:8" ht="15.6" customHeight="1" thickBot="1" x14ac:dyDescent="0.35">
      <c r="A186" s="6" t="s">
        <v>221</v>
      </c>
      <c r="B186" s="6" t="s">
        <v>19</v>
      </c>
      <c r="C186" t="s">
        <v>358</v>
      </c>
      <c r="D186" t="s">
        <v>359</v>
      </c>
      <c r="F186" s="33" t="s">
        <v>204</v>
      </c>
      <c r="G186" s="33" t="s">
        <v>358</v>
      </c>
      <c r="H186" s="34">
        <v>2063</v>
      </c>
    </row>
    <row r="187" spans="1:8" ht="15.6" customHeight="1" thickBot="1" x14ac:dyDescent="0.35">
      <c r="A187" s="6" t="s">
        <v>222</v>
      </c>
      <c r="B187" s="6" t="s">
        <v>24</v>
      </c>
      <c r="C187" t="s">
        <v>360</v>
      </c>
      <c r="D187" t="s">
        <v>361</v>
      </c>
      <c r="F187" s="33" t="s">
        <v>204</v>
      </c>
      <c r="G187" s="35" t="s">
        <v>359</v>
      </c>
      <c r="H187" s="34">
        <v>2063</v>
      </c>
    </row>
    <row r="188" spans="1:8" ht="15.6" customHeight="1" thickBot="1" x14ac:dyDescent="0.35">
      <c r="A188" s="6" t="s">
        <v>223</v>
      </c>
      <c r="B188" s="6" t="s">
        <v>115</v>
      </c>
      <c r="C188" t="s">
        <v>369</v>
      </c>
      <c r="D188" t="s">
        <v>370</v>
      </c>
      <c r="F188" s="33" t="s">
        <v>322</v>
      </c>
      <c r="G188" s="33" t="s">
        <v>367</v>
      </c>
      <c r="H188" s="34">
        <v>2048</v>
      </c>
    </row>
    <row r="189" spans="1:8" ht="15.6" customHeight="1" thickBot="1" x14ac:dyDescent="0.35">
      <c r="A189" s="6" t="s">
        <v>224</v>
      </c>
      <c r="B189" s="6" t="s">
        <v>115</v>
      </c>
      <c r="C189" t="s">
        <v>369</v>
      </c>
      <c r="D189" t="s">
        <v>370</v>
      </c>
      <c r="F189" s="33" t="s">
        <v>322</v>
      </c>
      <c r="G189" s="35" t="s">
        <v>368</v>
      </c>
      <c r="H189" s="34">
        <v>2048</v>
      </c>
    </row>
    <row r="190" spans="1:8" ht="15.6" customHeight="1" thickBot="1" x14ac:dyDescent="0.35">
      <c r="A190" s="6" t="s">
        <v>225</v>
      </c>
      <c r="B190" s="6" t="s">
        <v>32</v>
      </c>
      <c r="C190" t="s">
        <v>32</v>
      </c>
      <c r="F190" s="33" t="s">
        <v>312</v>
      </c>
      <c r="G190" s="33" t="s">
        <v>362</v>
      </c>
      <c r="H190" s="34">
        <v>2037</v>
      </c>
    </row>
    <row r="191" spans="1:8" ht="15.6" customHeight="1" thickBot="1" x14ac:dyDescent="0.35">
      <c r="A191" s="6" t="s">
        <v>226</v>
      </c>
      <c r="B191" s="6" t="s">
        <v>35</v>
      </c>
      <c r="C191" t="s">
        <v>364</v>
      </c>
      <c r="D191" t="s">
        <v>365</v>
      </c>
      <c r="F191" s="33" t="s">
        <v>312</v>
      </c>
      <c r="G191" s="35" t="s">
        <v>363</v>
      </c>
      <c r="H191" s="34">
        <v>2037</v>
      </c>
    </row>
    <row r="192" spans="1:8" ht="15.6" customHeight="1" thickBot="1" x14ac:dyDescent="0.35">
      <c r="A192" s="6" t="s">
        <v>227</v>
      </c>
      <c r="B192" s="6" t="s">
        <v>55</v>
      </c>
      <c r="C192" t="s">
        <v>357</v>
      </c>
      <c r="D192" t="s">
        <v>32</v>
      </c>
      <c r="F192" s="33" t="s">
        <v>69</v>
      </c>
      <c r="G192" s="33" t="s">
        <v>360</v>
      </c>
      <c r="H192" s="34">
        <v>2016</v>
      </c>
    </row>
    <row r="193" spans="1:8" ht="15.6" customHeight="1" thickBot="1" x14ac:dyDescent="0.35">
      <c r="A193" s="6" t="s">
        <v>228</v>
      </c>
      <c r="B193" s="6" t="s">
        <v>37</v>
      </c>
      <c r="C193" t="s">
        <v>367</v>
      </c>
      <c r="D193" t="s">
        <v>368</v>
      </c>
      <c r="F193" s="33" t="s">
        <v>69</v>
      </c>
      <c r="G193" s="35" t="s">
        <v>361</v>
      </c>
      <c r="H193" s="34">
        <v>2016</v>
      </c>
    </row>
    <row r="194" spans="1:8" ht="15.6" customHeight="1" thickBot="1" x14ac:dyDescent="0.35">
      <c r="A194" s="6" t="s">
        <v>229</v>
      </c>
      <c r="B194" s="6" t="s">
        <v>37</v>
      </c>
      <c r="C194" t="s">
        <v>367</v>
      </c>
      <c r="D194" t="s">
        <v>368</v>
      </c>
      <c r="F194" s="33" t="s">
        <v>275</v>
      </c>
      <c r="G194" s="33" t="s">
        <v>358</v>
      </c>
      <c r="H194" s="34">
        <v>2013</v>
      </c>
    </row>
    <row r="195" spans="1:8" ht="15.6" customHeight="1" thickBot="1" x14ac:dyDescent="0.35">
      <c r="A195" s="6" t="s">
        <v>230</v>
      </c>
      <c r="B195" s="6" t="s">
        <v>35</v>
      </c>
      <c r="C195" t="s">
        <v>364</v>
      </c>
      <c r="D195" t="s">
        <v>365</v>
      </c>
      <c r="F195" s="33" t="s">
        <v>275</v>
      </c>
      <c r="G195" s="35" t="s">
        <v>359</v>
      </c>
      <c r="H195" s="34">
        <v>2013</v>
      </c>
    </row>
    <row r="196" spans="1:8" ht="15.6" customHeight="1" thickBot="1" x14ac:dyDescent="0.35">
      <c r="A196" s="6" t="s">
        <v>231</v>
      </c>
      <c r="B196" s="6" t="s">
        <v>41</v>
      </c>
      <c r="C196" t="s">
        <v>366</v>
      </c>
      <c r="D196" t="s">
        <v>362</v>
      </c>
      <c r="F196" s="33" t="s">
        <v>333</v>
      </c>
      <c r="G196" s="33" t="s">
        <v>64</v>
      </c>
      <c r="H196" s="34">
        <v>2012</v>
      </c>
    </row>
    <row r="197" spans="1:8" ht="15.6" customHeight="1" thickBot="1" x14ac:dyDescent="0.35">
      <c r="A197" s="6" t="s">
        <v>232</v>
      </c>
      <c r="B197" s="6" t="s">
        <v>64</v>
      </c>
      <c r="C197" t="s">
        <v>64</v>
      </c>
      <c r="F197" s="33" t="s">
        <v>36</v>
      </c>
      <c r="G197" s="33" t="s">
        <v>367</v>
      </c>
      <c r="H197" s="34">
        <v>2011</v>
      </c>
    </row>
    <row r="198" spans="1:8" ht="15.6" customHeight="1" thickBot="1" x14ac:dyDescent="0.35">
      <c r="A198" s="6" t="s">
        <v>233</v>
      </c>
      <c r="B198" s="6" t="s">
        <v>24</v>
      </c>
      <c r="C198" t="s">
        <v>360</v>
      </c>
      <c r="D198" t="s">
        <v>361</v>
      </c>
      <c r="F198" s="33" t="s">
        <v>36</v>
      </c>
      <c r="G198" s="35" t="s">
        <v>368</v>
      </c>
      <c r="H198" s="34">
        <v>2011</v>
      </c>
    </row>
    <row r="199" spans="1:8" ht="15.6" customHeight="1" thickBot="1" x14ac:dyDescent="0.35">
      <c r="A199" s="6" t="s">
        <v>234</v>
      </c>
      <c r="B199" s="6" t="s">
        <v>28</v>
      </c>
      <c r="C199" t="s">
        <v>362</v>
      </c>
      <c r="D199" t="s">
        <v>363</v>
      </c>
      <c r="F199" s="36" t="s">
        <v>159</v>
      </c>
      <c r="G199" s="36" t="s">
        <v>362</v>
      </c>
      <c r="H199" s="37">
        <v>2010</v>
      </c>
    </row>
    <row r="200" spans="1:8" ht="15.6" customHeight="1" thickBot="1" x14ac:dyDescent="0.35">
      <c r="A200" s="6" t="s">
        <v>235</v>
      </c>
      <c r="B200" s="6" t="s">
        <v>37</v>
      </c>
      <c r="C200" t="s">
        <v>367</v>
      </c>
      <c r="D200" t="s">
        <v>368</v>
      </c>
      <c r="F200" s="36" t="s">
        <v>159</v>
      </c>
      <c r="G200" s="38" t="s">
        <v>371</v>
      </c>
      <c r="H200" s="37">
        <v>2010</v>
      </c>
    </row>
    <row r="201" spans="1:8" ht="15.6" customHeight="1" thickBot="1" x14ac:dyDescent="0.35">
      <c r="A201" s="6" t="s">
        <v>236</v>
      </c>
      <c r="B201" s="6" t="s">
        <v>55</v>
      </c>
      <c r="C201" t="s">
        <v>357</v>
      </c>
      <c r="D201" t="s">
        <v>32</v>
      </c>
      <c r="F201" s="33" t="s">
        <v>256</v>
      </c>
      <c r="G201" s="33" t="s">
        <v>358</v>
      </c>
      <c r="H201" s="34">
        <v>2009</v>
      </c>
    </row>
    <row r="202" spans="1:8" ht="15.6" customHeight="1" thickBot="1" x14ac:dyDescent="0.35">
      <c r="A202" s="6" t="s">
        <v>237</v>
      </c>
      <c r="B202" s="6" t="s">
        <v>32</v>
      </c>
      <c r="C202" t="s">
        <v>32</v>
      </c>
      <c r="F202" s="33" t="s">
        <v>189</v>
      </c>
      <c r="G202" s="33" t="s">
        <v>358</v>
      </c>
      <c r="H202" s="34">
        <v>2009</v>
      </c>
    </row>
    <row r="203" spans="1:8" ht="15.6" customHeight="1" thickBot="1" x14ac:dyDescent="0.35">
      <c r="A203" s="6" t="s">
        <v>238</v>
      </c>
      <c r="B203" s="6" t="s">
        <v>115</v>
      </c>
      <c r="C203" t="s">
        <v>369</v>
      </c>
      <c r="D203" t="s">
        <v>370</v>
      </c>
      <c r="F203" s="33" t="s">
        <v>256</v>
      </c>
      <c r="G203" s="35" t="s">
        <v>359</v>
      </c>
      <c r="H203" s="34">
        <v>2009</v>
      </c>
    </row>
    <row r="204" spans="1:8" ht="15.6" customHeight="1" thickBot="1" x14ac:dyDescent="0.35">
      <c r="A204" s="6" t="s">
        <v>239</v>
      </c>
      <c r="B204" s="6" t="s">
        <v>37</v>
      </c>
      <c r="C204" t="s">
        <v>367</v>
      </c>
      <c r="D204" t="s">
        <v>368</v>
      </c>
      <c r="F204" s="33" t="s">
        <v>189</v>
      </c>
      <c r="G204" s="35" t="s">
        <v>359</v>
      </c>
      <c r="H204" s="34">
        <v>2009</v>
      </c>
    </row>
    <row r="205" spans="1:8" ht="15.6" customHeight="1" thickBot="1" x14ac:dyDescent="0.35">
      <c r="A205" s="6" t="s">
        <v>240</v>
      </c>
      <c r="B205" s="6" t="s">
        <v>32</v>
      </c>
      <c r="C205" t="s">
        <v>32</v>
      </c>
      <c r="F205" s="33" t="s">
        <v>66</v>
      </c>
      <c r="G205" s="33" t="s">
        <v>362</v>
      </c>
      <c r="H205" s="34">
        <v>2004</v>
      </c>
    </row>
    <row r="206" spans="1:8" ht="15.6" customHeight="1" thickBot="1" x14ac:dyDescent="0.35">
      <c r="A206" s="6" t="s">
        <v>241</v>
      </c>
      <c r="B206" s="6" t="s">
        <v>50</v>
      </c>
      <c r="C206" t="s">
        <v>362</v>
      </c>
      <c r="D206" t="s">
        <v>371</v>
      </c>
      <c r="F206" s="33" t="s">
        <v>66</v>
      </c>
      <c r="G206" s="35" t="s">
        <v>363</v>
      </c>
      <c r="H206" s="34">
        <v>2004</v>
      </c>
    </row>
    <row r="207" spans="1:8" ht="15.6" customHeight="1" thickBot="1" x14ac:dyDescent="0.35">
      <c r="A207" s="6" t="s">
        <v>242</v>
      </c>
      <c r="B207" s="6" t="s">
        <v>50</v>
      </c>
      <c r="C207" t="s">
        <v>362</v>
      </c>
      <c r="D207" t="s">
        <v>371</v>
      </c>
      <c r="F207" s="33" t="s">
        <v>206</v>
      </c>
      <c r="G207" s="33" t="s">
        <v>357</v>
      </c>
      <c r="H207" s="34">
        <v>2001</v>
      </c>
    </row>
    <row r="208" spans="1:8" ht="15.6" customHeight="1" thickBot="1" x14ac:dyDescent="0.35">
      <c r="A208" s="6" t="s">
        <v>243</v>
      </c>
      <c r="B208" s="6" t="s">
        <v>64</v>
      </c>
      <c r="C208" t="s">
        <v>64</v>
      </c>
      <c r="F208" s="33" t="s">
        <v>206</v>
      </c>
      <c r="G208" s="35" t="s">
        <v>32</v>
      </c>
      <c r="H208" s="34">
        <v>2001</v>
      </c>
    </row>
    <row r="209" spans="1:8" ht="15.6" customHeight="1" thickBot="1" x14ac:dyDescent="0.35">
      <c r="A209" s="6" t="s">
        <v>244</v>
      </c>
      <c r="B209" s="6" t="s">
        <v>19</v>
      </c>
      <c r="C209" t="s">
        <v>358</v>
      </c>
      <c r="D209" t="s">
        <v>359</v>
      </c>
      <c r="F209" s="36" t="s">
        <v>237</v>
      </c>
      <c r="G209" s="36" t="s">
        <v>32</v>
      </c>
      <c r="H209" s="37">
        <v>1995</v>
      </c>
    </row>
    <row r="210" spans="1:8" ht="15.6" customHeight="1" thickBot="1" x14ac:dyDescent="0.35">
      <c r="A210" s="6" t="s">
        <v>245</v>
      </c>
      <c r="B210" s="6" t="s">
        <v>28</v>
      </c>
      <c r="C210" t="s">
        <v>362</v>
      </c>
      <c r="D210" t="s">
        <v>363</v>
      </c>
      <c r="F210" s="33" t="s">
        <v>93</v>
      </c>
      <c r="G210" s="33" t="s">
        <v>360</v>
      </c>
      <c r="H210" s="34">
        <v>1990</v>
      </c>
    </row>
    <row r="211" spans="1:8" ht="15.6" customHeight="1" thickBot="1" x14ac:dyDescent="0.35">
      <c r="A211" s="6" t="s">
        <v>246</v>
      </c>
      <c r="B211" s="6" t="s">
        <v>41</v>
      </c>
      <c r="C211" t="s">
        <v>366</v>
      </c>
      <c r="D211" t="s">
        <v>362</v>
      </c>
      <c r="F211" s="33" t="s">
        <v>93</v>
      </c>
      <c r="G211" s="35" t="s">
        <v>361</v>
      </c>
      <c r="H211" s="34">
        <v>1990</v>
      </c>
    </row>
    <row r="212" spans="1:8" ht="15.6" customHeight="1" thickBot="1" x14ac:dyDescent="0.35">
      <c r="A212" s="6" t="s">
        <v>247</v>
      </c>
      <c r="B212" s="6" t="s">
        <v>64</v>
      </c>
      <c r="C212" t="s">
        <v>64</v>
      </c>
      <c r="F212" s="33" t="s">
        <v>167</v>
      </c>
      <c r="G212" s="33" t="s">
        <v>366</v>
      </c>
      <c r="H212" s="34">
        <v>1982</v>
      </c>
    </row>
    <row r="213" spans="1:8" ht="15.6" customHeight="1" thickBot="1" x14ac:dyDescent="0.35">
      <c r="A213" s="6" t="s">
        <v>248</v>
      </c>
      <c r="B213" s="6" t="s">
        <v>15</v>
      </c>
      <c r="C213" t="s">
        <v>355</v>
      </c>
      <c r="D213" t="s">
        <v>356</v>
      </c>
      <c r="F213" s="33" t="s">
        <v>167</v>
      </c>
      <c r="G213" s="35" t="s">
        <v>362</v>
      </c>
      <c r="H213" s="34">
        <v>1982</v>
      </c>
    </row>
    <row r="214" spans="1:8" ht="15.6" customHeight="1" thickBot="1" x14ac:dyDescent="0.35">
      <c r="A214" s="6" t="s">
        <v>249</v>
      </c>
      <c r="B214" s="6" t="s">
        <v>41</v>
      </c>
      <c r="C214" t="s">
        <v>366</v>
      </c>
      <c r="D214" t="s">
        <v>362</v>
      </c>
      <c r="F214" s="33" t="s">
        <v>185</v>
      </c>
      <c r="G214" s="33" t="s">
        <v>355</v>
      </c>
      <c r="H214" s="34">
        <v>1980</v>
      </c>
    </row>
    <row r="215" spans="1:8" ht="15.6" customHeight="1" thickBot="1" x14ac:dyDescent="0.35">
      <c r="A215" s="6" t="s">
        <v>250</v>
      </c>
      <c r="B215" s="6" t="s">
        <v>24</v>
      </c>
      <c r="C215" t="s">
        <v>360</v>
      </c>
      <c r="D215" t="s">
        <v>361</v>
      </c>
      <c r="F215" s="33" t="s">
        <v>185</v>
      </c>
      <c r="G215" s="35" t="s">
        <v>356</v>
      </c>
      <c r="H215" s="34">
        <v>1980</v>
      </c>
    </row>
    <row r="216" spans="1:8" ht="15.6" customHeight="1" thickBot="1" x14ac:dyDescent="0.35">
      <c r="A216" s="6" t="s">
        <v>251</v>
      </c>
      <c r="B216" s="6" t="s">
        <v>55</v>
      </c>
      <c r="C216" t="s">
        <v>357</v>
      </c>
      <c r="D216" t="s">
        <v>32</v>
      </c>
      <c r="F216" s="33" t="s">
        <v>26</v>
      </c>
      <c r="G216" s="33" t="s">
        <v>362</v>
      </c>
      <c r="H216" s="34">
        <v>1925</v>
      </c>
    </row>
    <row r="217" spans="1:8" ht="15.6" customHeight="1" thickBot="1" x14ac:dyDescent="0.35">
      <c r="A217" s="6" t="s">
        <v>252</v>
      </c>
      <c r="B217" s="6" t="s">
        <v>15</v>
      </c>
      <c r="C217" t="s">
        <v>355</v>
      </c>
      <c r="D217" t="s">
        <v>356</v>
      </c>
      <c r="F217" s="33" t="s">
        <v>26</v>
      </c>
      <c r="G217" s="35" t="s">
        <v>363</v>
      </c>
      <c r="H217" s="34">
        <v>1925</v>
      </c>
    </row>
    <row r="218" spans="1:8" ht="15.6" customHeight="1" thickBot="1" x14ac:dyDescent="0.35">
      <c r="A218" s="6" t="s">
        <v>253</v>
      </c>
      <c r="B218" s="6" t="s">
        <v>15</v>
      </c>
      <c r="C218" t="s">
        <v>355</v>
      </c>
      <c r="D218" t="s">
        <v>356</v>
      </c>
      <c r="F218" s="33" t="s">
        <v>181</v>
      </c>
      <c r="G218" s="33" t="s">
        <v>358</v>
      </c>
      <c r="H218" s="34">
        <v>1907</v>
      </c>
    </row>
    <row r="219" spans="1:8" ht="15.6" customHeight="1" thickBot="1" x14ac:dyDescent="0.35">
      <c r="A219" s="6" t="s">
        <v>254</v>
      </c>
      <c r="B219" s="6" t="s">
        <v>64</v>
      </c>
      <c r="C219" t="s">
        <v>64</v>
      </c>
      <c r="F219" s="33" t="s">
        <v>181</v>
      </c>
      <c r="G219" s="35" t="s">
        <v>359</v>
      </c>
      <c r="H219" s="34">
        <v>1907</v>
      </c>
    </row>
    <row r="220" spans="1:8" ht="15.6" customHeight="1" thickBot="1" x14ac:dyDescent="0.35">
      <c r="A220" s="6" t="s">
        <v>255</v>
      </c>
      <c r="B220" s="6" t="s">
        <v>35</v>
      </c>
      <c r="C220" t="s">
        <v>364</v>
      </c>
      <c r="D220" t="s">
        <v>365</v>
      </c>
      <c r="F220" s="33" t="s">
        <v>52</v>
      </c>
      <c r="G220" s="33" t="s">
        <v>362</v>
      </c>
      <c r="H220" s="34">
        <v>1891</v>
      </c>
    </row>
    <row r="221" spans="1:8" ht="15.6" customHeight="1" thickBot="1" x14ac:dyDescent="0.35">
      <c r="A221" s="6" t="s">
        <v>256</v>
      </c>
      <c r="B221" s="6" t="s">
        <v>19</v>
      </c>
      <c r="C221" t="s">
        <v>358</v>
      </c>
      <c r="D221" t="s">
        <v>359</v>
      </c>
      <c r="F221" s="33" t="s">
        <v>52</v>
      </c>
      <c r="G221" s="35" t="s">
        <v>371</v>
      </c>
      <c r="H221" s="34">
        <v>1891</v>
      </c>
    </row>
    <row r="222" spans="1:8" ht="15.6" customHeight="1" thickBot="1" x14ac:dyDescent="0.35">
      <c r="A222" s="6" t="s">
        <v>257</v>
      </c>
      <c r="B222" s="6" t="s">
        <v>35</v>
      </c>
      <c r="C222" t="s">
        <v>364</v>
      </c>
      <c r="D222" t="s">
        <v>365</v>
      </c>
      <c r="F222" s="33" t="s">
        <v>234</v>
      </c>
      <c r="G222" s="33" t="s">
        <v>362</v>
      </c>
      <c r="H222" s="34">
        <v>1876</v>
      </c>
    </row>
    <row r="223" spans="1:8" ht="15.6" customHeight="1" thickBot="1" x14ac:dyDescent="0.35">
      <c r="A223" s="6" t="s">
        <v>258</v>
      </c>
      <c r="B223" s="6" t="s">
        <v>64</v>
      </c>
      <c r="C223" t="s">
        <v>64</v>
      </c>
      <c r="F223" s="33" t="s">
        <v>234</v>
      </c>
      <c r="G223" s="35" t="s">
        <v>363</v>
      </c>
      <c r="H223" s="34">
        <v>1876</v>
      </c>
    </row>
    <row r="224" spans="1:8" ht="15.6" customHeight="1" thickBot="1" x14ac:dyDescent="0.35">
      <c r="A224" s="6" t="s">
        <v>259</v>
      </c>
      <c r="B224" s="6" t="s">
        <v>24</v>
      </c>
      <c r="C224" t="s">
        <v>360</v>
      </c>
      <c r="D224" t="s">
        <v>361</v>
      </c>
      <c r="F224" s="33" t="s">
        <v>83</v>
      </c>
      <c r="G224" s="33" t="s">
        <v>355</v>
      </c>
      <c r="H224" s="34">
        <v>1874</v>
      </c>
    </row>
    <row r="225" spans="1:8" ht="15.6" customHeight="1" thickBot="1" x14ac:dyDescent="0.35">
      <c r="A225" s="6" t="s">
        <v>260</v>
      </c>
      <c r="B225" s="6" t="s">
        <v>115</v>
      </c>
      <c r="C225" t="s">
        <v>369</v>
      </c>
      <c r="D225" t="s">
        <v>370</v>
      </c>
      <c r="F225" s="33" t="s">
        <v>83</v>
      </c>
      <c r="G225" s="35" t="s">
        <v>356</v>
      </c>
      <c r="H225" s="34">
        <v>1874</v>
      </c>
    </row>
    <row r="226" spans="1:8" ht="15.6" customHeight="1" thickBot="1" x14ac:dyDescent="0.35">
      <c r="A226" s="6" t="s">
        <v>261</v>
      </c>
      <c r="B226" s="6" t="s">
        <v>37</v>
      </c>
      <c r="C226" t="s">
        <v>367</v>
      </c>
      <c r="D226" t="s">
        <v>368</v>
      </c>
      <c r="F226" s="33" t="s">
        <v>224</v>
      </c>
      <c r="G226" s="33" t="s">
        <v>369</v>
      </c>
      <c r="H226" s="34">
        <v>1867</v>
      </c>
    </row>
    <row r="227" spans="1:8" ht="15.6" customHeight="1" thickBot="1" x14ac:dyDescent="0.35">
      <c r="A227" s="6" t="s">
        <v>262</v>
      </c>
      <c r="B227" s="6" t="s">
        <v>37</v>
      </c>
      <c r="C227" t="s">
        <v>367</v>
      </c>
      <c r="D227" t="s">
        <v>368</v>
      </c>
      <c r="F227" s="33" t="s">
        <v>224</v>
      </c>
      <c r="G227" s="35" t="s">
        <v>370</v>
      </c>
      <c r="H227" s="34">
        <v>1867</v>
      </c>
    </row>
    <row r="228" spans="1:8" ht="15.6" customHeight="1" thickBot="1" x14ac:dyDescent="0.35">
      <c r="A228" s="6" t="s">
        <v>263</v>
      </c>
      <c r="B228" s="6" t="s">
        <v>19</v>
      </c>
      <c r="C228" t="s">
        <v>358</v>
      </c>
      <c r="D228" t="s">
        <v>359</v>
      </c>
      <c r="F228" s="33" t="s">
        <v>161</v>
      </c>
      <c r="G228" s="33" t="s">
        <v>355</v>
      </c>
      <c r="H228" s="34">
        <v>1862</v>
      </c>
    </row>
    <row r="229" spans="1:8" ht="15.6" customHeight="1" thickBot="1" x14ac:dyDescent="0.35">
      <c r="A229" s="6" t="s">
        <v>264</v>
      </c>
      <c r="B229" s="6" t="s">
        <v>24</v>
      </c>
      <c r="C229" t="s">
        <v>360</v>
      </c>
      <c r="D229" t="s">
        <v>361</v>
      </c>
      <c r="F229" s="33" t="s">
        <v>161</v>
      </c>
      <c r="G229" s="35" t="s">
        <v>356</v>
      </c>
      <c r="H229" s="34">
        <v>1862</v>
      </c>
    </row>
    <row r="230" spans="1:8" ht="15.6" customHeight="1" thickBot="1" x14ac:dyDescent="0.35">
      <c r="A230" s="6" t="s">
        <v>265</v>
      </c>
      <c r="B230" s="6" t="s">
        <v>19</v>
      </c>
      <c r="C230" t="s">
        <v>358</v>
      </c>
      <c r="D230" t="s">
        <v>359</v>
      </c>
      <c r="F230" s="33" t="s">
        <v>296</v>
      </c>
      <c r="G230" s="33" t="s">
        <v>358</v>
      </c>
      <c r="H230" s="34">
        <v>1860</v>
      </c>
    </row>
    <row r="231" spans="1:8" ht="15.6" customHeight="1" thickBot="1" x14ac:dyDescent="0.35">
      <c r="A231" s="6" t="s">
        <v>266</v>
      </c>
      <c r="B231" s="6" t="s">
        <v>32</v>
      </c>
      <c r="C231" t="s">
        <v>32</v>
      </c>
      <c r="F231" s="33" t="s">
        <v>296</v>
      </c>
      <c r="G231" s="35" t="s">
        <v>359</v>
      </c>
      <c r="H231" s="34">
        <v>1860</v>
      </c>
    </row>
    <row r="232" spans="1:8" ht="15.6" customHeight="1" thickBot="1" x14ac:dyDescent="0.35">
      <c r="A232" s="6" t="s">
        <v>267</v>
      </c>
      <c r="B232" s="6" t="s">
        <v>35</v>
      </c>
      <c r="C232" t="s">
        <v>364</v>
      </c>
      <c r="D232" t="s">
        <v>365</v>
      </c>
      <c r="F232" s="33" t="s">
        <v>197</v>
      </c>
      <c r="G232" s="33" t="s">
        <v>360</v>
      </c>
      <c r="H232" s="34">
        <v>1859</v>
      </c>
    </row>
    <row r="233" spans="1:8" ht="15.6" customHeight="1" thickBot="1" x14ac:dyDescent="0.35">
      <c r="A233" s="6" t="s">
        <v>268</v>
      </c>
      <c r="B233" s="6" t="s">
        <v>37</v>
      </c>
      <c r="C233" t="s">
        <v>367</v>
      </c>
      <c r="D233" t="s">
        <v>368</v>
      </c>
      <c r="F233" s="33" t="s">
        <v>197</v>
      </c>
      <c r="G233" s="35" t="s">
        <v>361</v>
      </c>
      <c r="H233" s="34">
        <v>1859</v>
      </c>
    </row>
    <row r="234" spans="1:8" ht="15.6" customHeight="1" thickBot="1" x14ac:dyDescent="0.35">
      <c r="A234" s="6" t="s">
        <v>269</v>
      </c>
      <c r="B234" s="6" t="s">
        <v>15</v>
      </c>
      <c r="C234" t="s">
        <v>355</v>
      </c>
      <c r="D234" t="s">
        <v>356</v>
      </c>
      <c r="F234" s="33" t="s">
        <v>92</v>
      </c>
      <c r="G234" s="33" t="s">
        <v>362</v>
      </c>
      <c r="H234" s="34">
        <v>1848</v>
      </c>
    </row>
    <row r="235" spans="1:8" ht="15.6" customHeight="1" thickBot="1" x14ac:dyDescent="0.35">
      <c r="A235" s="6" t="s">
        <v>270</v>
      </c>
      <c r="B235" s="6" t="s">
        <v>35</v>
      </c>
      <c r="C235" t="s">
        <v>364</v>
      </c>
      <c r="D235" t="s">
        <v>365</v>
      </c>
      <c r="F235" s="33" t="s">
        <v>92</v>
      </c>
      <c r="G235" s="35" t="s">
        <v>371</v>
      </c>
      <c r="H235" s="34">
        <v>1848</v>
      </c>
    </row>
    <row r="236" spans="1:8" ht="15.6" customHeight="1" thickBot="1" x14ac:dyDescent="0.35">
      <c r="A236" s="6" t="s">
        <v>271</v>
      </c>
      <c r="B236" s="6" t="s">
        <v>28</v>
      </c>
      <c r="C236" t="s">
        <v>362</v>
      </c>
      <c r="D236" t="s">
        <v>363</v>
      </c>
      <c r="F236" s="33" t="s">
        <v>88</v>
      </c>
      <c r="G236" s="33" t="s">
        <v>362</v>
      </c>
      <c r="H236" s="34">
        <v>1847</v>
      </c>
    </row>
    <row r="237" spans="1:8" ht="15.6" customHeight="1" thickBot="1" x14ac:dyDescent="0.35">
      <c r="A237" s="6" t="s">
        <v>272</v>
      </c>
      <c r="B237" s="6" t="s">
        <v>55</v>
      </c>
      <c r="C237" t="s">
        <v>357</v>
      </c>
      <c r="D237" t="s">
        <v>32</v>
      </c>
      <c r="F237" s="33" t="s">
        <v>88</v>
      </c>
      <c r="G237" s="35" t="s">
        <v>371</v>
      </c>
      <c r="H237" s="34">
        <v>1847</v>
      </c>
    </row>
    <row r="238" spans="1:8" ht="15.6" customHeight="1" thickBot="1" x14ac:dyDescent="0.35">
      <c r="A238" s="6" t="s">
        <v>273</v>
      </c>
      <c r="B238" s="6" t="s">
        <v>24</v>
      </c>
      <c r="C238" t="s">
        <v>360</v>
      </c>
      <c r="D238" t="s">
        <v>361</v>
      </c>
      <c r="F238" s="33" t="s">
        <v>170</v>
      </c>
      <c r="G238" s="33" t="s">
        <v>32</v>
      </c>
      <c r="H238" s="34">
        <v>1830</v>
      </c>
    </row>
    <row r="239" spans="1:8" ht="15.6" customHeight="1" thickBot="1" x14ac:dyDescent="0.35">
      <c r="A239" s="6" t="s">
        <v>274</v>
      </c>
      <c r="B239" s="6" t="s">
        <v>41</v>
      </c>
      <c r="C239" t="s">
        <v>366</v>
      </c>
      <c r="D239" t="s">
        <v>362</v>
      </c>
      <c r="F239" s="33" t="s">
        <v>149</v>
      </c>
      <c r="G239" s="33" t="s">
        <v>357</v>
      </c>
      <c r="H239" s="34">
        <v>1753</v>
      </c>
    </row>
    <row r="240" spans="1:8" ht="15.6" customHeight="1" thickBot="1" x14ac:dyDescent="0.35">
      <c r="A240" s="6" t="s">
        <v>275</v>
      </c>
      <c r="B240" s="6" t="s">
        <v>19</v>
      </c>
      <c r="C240" t="s">
        <v>358</v>
      </c>
      <c r="D240" t="s">
        <v>359</v>
      </c>
      <c r="F240" s="33" t="s">
        <v>149</v>
      </c>
      <c r="G240" s="35" t="s">
        <v>32</v>
      </c>
      <c r="H240" s="34">
        <v>1753</v>
      </c>
    </row>
    <row r="241" spans="1:8" ht="15.6" customHeight="1" thickBot="1" x14ac:dyDescent="0.35">
      <c r="A241" s="6" t="s">
        <v>276</v>
      </c>
      <c r="B241" s="6" t="s">
        <v>35</v>
      </c>
      <c r="C241" t="s">
        <v>364</v>
      </c>
      <c r="D241" t="s">
        <v>365</v>
      </c>
      <c r="F241" s="33" t="s">
        <v>271</v>
      </c>
      <c r="G241" s="33" t="s">
        <v>362</v>
      </c>
      <c r="H241" s="34">
        <v>1739</v>
      </c>
    </row>
    <row r="242" spans="1:8" ht="15.6" customHeight="1" thickBot="1" x14ac:dyDescent="0.35">
      <c r="A242" s="6" t="s">
        <v>277</v>
      </c>
      <c r="B242" s="6" t="s">
        <v>55</v>
      </c>
      <c r="C242" t="s">
        <v>357</v>
      </c>
      <c r="D242" t="s">
        <v>32</v>
      </c>
      <c r="F242" s="33" t="s">
        <v>271</v>
      </c>
      <c r="G242" s="35" t="s">
        <v>363</v>
      </c>
      <c r="H242" s="34">
        <v>1739</v>
      </c>
    </row>
    <row r="243" spans="1:8" ht="15.6" customHeight="1" thickBot="1" x14ac:dyDescent="0.35">
      <c r="A243" s="6" t="s">
        <v>278</v>
      </c>
      <c r="B243" s="6" t="s">
        <v>35</v>
      </c>
      <c r="C243" t="s">
        <v>364</v>
      </c>
      <c r="D243" t="s">
        <v>365</v>
      </c>
      <c r="F243" s="33" t="s">
        <v>110</v>
      </c>
      <c r="G243" s="33" t="s">
        <v>360</v>
      </c>
      <c r="H243" s="34">
        <v>1735</v>
      </c>
    </row>
    <row r="244" spans="1:8" ht="15.6" customHeight="1" thickBot="1" x14ac:dyDescent="0.35">
      <c r="A244" s="6" t="s">
        <v>279</v>
      </c>
      <c r="B244" s="6" t="s">
        <v>41</v>
      </c>
      <c r="C244" t="s">
        <v>366</v>
      </c>
      <c r="D244" t="s">
        <v>362</v>
      </c>
      <c r="F244" s="33" t="s">
        <v>110</v>
      </c>
      <c r="G244" s="35" t="s">
        <v>361</v>
      </c>
      <c r="H244" s="34">
        <v>1735</v>
      </c>
    </row>
    <row r="245" spans="1:8" ht="15.6" customHeight="1" thickBot="1" x14ac:dyDescent="0.35">
      <c r="A245" s="6" t="s">
        <v>280</v>
      </c>
      <c r="B245" s="6" t="s">
        <v>55</v>
      </c>
      <c r="C245" t="s">
        <v>357</v>
      </c>
      <c r="D245" t="s">
        <v>32</v>
      </c>
      <c r="F245" s="33" t="s">
        <v>230</v>
      </c>
      <c r="G245" s="33" t="s">
        <v>364</v>
      </c>
      <c r="H245" s="34">
        <v>1715</v>
      </c>
    </row>
    <row r="246" spans="1:8" ht="15.6" customHeight="1" thickBot="1" x14ac:dyDescent="0.35">
      <c r="A246" s="6" t="s">
        <v>281</v>
      </c>
      <c r="B246" s="6" t="s">
        <v>28</v>
      </c>
      <c r="C246" t="s">
        <v>362</v>
      </c>
      <c r="D246" t="s">
        <v>363</v>
      </c>
      <c r="F246" s="33" t="s">
        <v>230</v>
      </c>
      <c r="G246" s="35" t="s">
        <v>365</v>
      </c>
      <c r="H246" s="34">
        <v>1715</v>
      </c>
    </row>
    <row r="247" spans="1:8" ht="15.6" customHeight="1" thickBot="1" x14ac:dyDescent="0.35">
      <c r="A247" s="6" t="s">
        <v>282</v>
      </c>
      <c r="B247" s="6" t="s">
        <v>41</v>
      </c>
      <c r="C247" t="s">
        <v>366</v>
      </c>
      <c r="D247" t="s">
        <v>362</v>
      </c>
      <c r="F247" s="33" t="s">
        <v>169</v>
      </c>
      <c r="G247" s="33" t="s">
        <v>355</v>
      </c>
      <c r="H247" s="34">
        <v>1710</v>
      </c>
    </row>
    <row r="248" spans="1:8" ht="15.6" customHeight="1" thickBot="1" x14ac:dyDescent="0.35">
      <c r="A248" s="6" t="s">
        <v>283</v>
      </c>
      <c r="B248" s="6" t="s">
        <v>64</v>
      </c>
      <c r="C248" t="s">
        <v>64</v>
      </c>
      <c r="F248" s="33" t="s">
        <v>169</v>
      </c>
      <c r="G248" s="35" t="s">
        <v>356</v>
      </c>
      <c r="H248" s="34">
        <v>1710</v>
      </c>
    </row>
    <row r="249" spans="1:8" ht="15.6" customHeight="1" thickBot="1" x14ac:dyDescent="0.35">
      <c r="A249" s="6" t="s">
        <v>284</v>
      </c>
      <c r="B249" s="6" t="s">
        <v>50</v>
      </c>
      <c r="C249" t="s">
        <v>362</v>
      </c>
      <c r="D249" t="s">
        <v>371</v>
      </c>
      <c r="F249" s="36" t="s">
        <v>221</v>
      </c>
      <c r="G249" s="36" t="s">
        <v>358</v>
      </c>
      <c r="H249" s="37">
        <v>1689</v>
      </c>
    </row>
    <row r="250" spans="1:8" ht="15.6" customHeight="1" thickBot="1" x14ac:dyDescent="0.35">
      <c r="A250" s="6" t="s">
        <v>285</v>
      </c>
      <c r="B250" s="6" t="s">
        <v>64</v>
      </c>
      <c r="C250" t="s">
        <v>64</v>
      </c>
      <c r="F250" s="36" t="s">
        <v>221</v>
      </c>
      <c r="G250" s="38" t="s">
        <v>359</v>
      </c>
      <c r="H250" s="37">
        <v>1689</v>
      </c>
    </row>
    <row r="251" spans="1:8" ht="15.6" customHeight="1" thickBot="1" x14ac:dyDescent="0.35">
      <c r="A251" s="6" t="s">
        <v>286</v>
      </c>
      <c r="B251" s="6" t="s">
        <v>37</v>
      </c>
      <c r="C251" t="s">
        <v>367</v>
      </c>
      <c r="D251" t="s">
        <v>368</v>
      </c>
      <c r="F251" s="33" t="s">
        <v>329</v>
      </c>
      <c r="G251" s="33" t="s">
        <v>362</v>
      </c>
      <c r="H251" s="34">
        <v>1687</v>
      </c>
    </row>
    <row r="252" spans="1:8" ht="15.6" customHeight="1" thickBot="1" x14ac:dyDescent="0.35">
      <c r="A252" s="6" t="s">
        <v>287</v>
      </c>
      <c r="B252" s="6" t="s">
        <v>35</v>
      </c>
      <c r="C252" t="s">
        <v>364</v>
      </c>
      <c r="D252" t="s">
        <v>365</v>
      </c>
      <c r="F252" s="33" t="s">
        <v>329</v>
      </c>
      <c r="G252" s="35" t="s">
        <v>371</v>
      </c>
      <c r="H252" s="34">
        <v>1687</v>
      </c>
    </row>
    <row r="253" spans="1:8" ht="15.6" customHeight="1" thickBot="1" x14ac:dyDescent="0.35">
      <c r="A253" s="6" t="s">
        <v>288</v>
      </c>
      <c r="B253" s="6" t="s">
        <v>50</v>
      </c>
      <c r="C253" t="s">
        <v>362</v>
      </c>
      <c r="D253" t="s">
        <v>371</v>
      </c>
      <c r="F253" s="33" t="s">
        <v>212</v>
      </c>
      <c r="G253" s="33" t="s">
        <v>360</v>
      </c>
      <c r="H253" s="34">
        <v>1667</v>
      </c>
    </row>
    <row r="254" spans="1:8" ht="15.6" customHeight="1" thickBot="1" x14ac:dyDescent="0.35">
      <c r="A254" s="6" t="s">
        <v>289</v>
      </c>
      <c r="B254" s="6" t="s">
        <v>64</v>
      </c>
      <c r="C254" t="s">
        <v>64</v>
      </c>
      <c r="F254" s="33" t="s">
        <v>212</v>
      </c>
      <c r="G254" s="35" t="s">
        <v>361</v>
      </c>
      <c r="H254" s="34">
        <v>1667</v>
      </c>
    </row>
    <row r="255" spans="1:8" ht="15.6" customHeight="1" thickBot="1" x14ac:dyDescent="0.35">
      <c r="A255" s="6" t="s">
        <v>290</v>
      </c>
      <c r="B255" s="6" t="s">
        <v>50</v>
      </c>
      <c r="C255" t="s">
        <v>362</v>
      </c>
      <c r="D255" t="s">
        <v>371</v>
      </c>
      <c r="F255" s="33" t="s">
        <v>321</v>
      </c>
      <c r="G255" s="33" t="s">
        <v>355</v>
      </c>
      <c r="H255" s="34">
        <v>1655</v>
      </c>
    </row>
    <row r="256" spans="1:8" ht="15.6" customHeight="1" thickBot="1" x14ac:dyDescent="0.35">
      <c r="A256" s="6" t="s">
        <v>291</v>
      </c>
      <c r="B256" s="6" t="s">
        <v>115</v>
      </c>
      <c r="C256" t="s">
        <v>369</v>
      </c>
      <c r="D256" t="s">
        <v>370</v>
      </c>
      <c r="F256" s="33" t="s">
        <v>321</v>
      </c>
      <c r="G256" s="35" t="s">
        <v>356</v>
      </c>
      <c r="H256" s="34">
        <v>1655</v>
      </c>
    </row>
    <row r="257" spans="1:8" ht="15.6" customHeight="1" thickBot="1" x14ac:dyDescent="0.35">
      <c r="A257" s="6" t="s">
        <v>292</v>
      </c>
      <c r="B257" s="6" t="s">
        <v>35</v>
      </c>
      <c r="C257" t="s">
        <v>364</v>
      </c>
      <c r="D257" t="s">
        <v>365</v>
      </c>
      <c r="F257" s="33" t="s">
        <v>103</v>
      </c>
      <c r="G257" s="33" t="s">
        <v>358</v>
      </c>
      <c r="H257" s="34">
        <v>1649</v>
      </c>
    </row>
    <row r="258" spans="1:8" ht="15.6" customHeight="1" thickBot="1" x14ac:dyDescent="0.35">
      <c r="A258" s="6" t="s">
        <v>293</v>
      </c>
      <c r="B258" s="6" t="s">
        <v>50</v>
      </c>
      <c r="C258" t="s">
        <v>362</v>
      </c>
      <c r="D258" t="s">
        <v>371</v>
      </c>
      <c r="F258" s="33" t="s">
        <v>103</v>
      </c>
      <c r="G258" s="35" t="s">
        <v>359</v>
      </c>
      <c r="H258" s="34">
        <v>1649</v>
      </c>
    </row>
    <row r="259" spans="1:8" ht="15.6" customHeight="1" thickBot="1" x14ac:dyDescent="0.35">
      <c r="A259" s="6" t="s">
        <v>294</v>
      </c>
      <c r="B259" s="6" t="s">
        <v>15</v>
      </c>
      <c r="C259" t="s">
        <v>355</v>
      </c>
      <c r="D259" t="s">
        <v>356</v>
      </c>
      <c r="F259" s="33" t="s">
        <v>51</v>
      </c>
      <c r="G259" s="33" t="s">
        <v>367</v>
      </c>
      <c r="H259" s="34">
        <v>1646</v>
      </c>
    </row>
    <row r="260" spans="1:8" ht="15.6" customHeight="1" thickBot="1" x14ac:dyDescent="0.35">
      <c r="A260" s="6" t="s">
        <v>295</v>
      </c>
      <c r="B260" s="6" t="s">
        <v>19</v>
      </c>
      <c r="C260" t="s">
        <v>358</v>
      </c>
      <c r="D260" t="s">
        <v>359</v>
      </c>
      <c r="F260" s="33" t="s">
        <v>51</v>
      </c>
      <c r="G260" s="35" t="s">
        <v>368</v>
      </c>
      <c r="H260" s="34">
        <v>1646</v>
      </c>
    </row>
    <row r="261" spans="1:8" ht="15.6" customHeight="1" thickBot="1" x14ac:dyDescent="0.35">
      <c r="A261" s="6" t="s">
        <v>296</v>
      </c>
      <c r="B261" s="6" t="s">
        <v>19</v>
      </c>
      <c r="C261" t="s">
        <v>358</v>
      </c>
      <c r="D261" t="s">
        <v>359</v>
      </c>
      <c r="F261" s="33" t="s">
        <v>219</v>
      </c>
      <c r="G261" s="33" t="s">
        <v>367</v>
      </c>
      <c r="H261" s="34">
        <v>1643</v>
      </c>
    </row>
    <row r="262" spans="1:8" ht="15.6" customHeight="1" thickBot="1" x14ac:dyDescent="0.35">
      <c r="A262" s="6" t="s">
        <v>297</v>
      </c>
      <c r="B262" s="6" t="s">
        <v>15</v>
      </c>
      <c r="C262" t="s">
        <v>355</v>
      </c>
      <c r="D262" t="s">
        <v>356</v>
      </c>
      <c r="F262" s="33" t="s">
        <v>219</v>
      </c>
      <c r="G262" s="35" t="s">
        <v>368</v>
      </c>
      <c r="H262" s="34">
        <v>1643</v>
      </c>
    </row>
    <row r="263" spans="1:8" ht="15.6" customHeight="1" thickBot="1" x14ac:dyDescent="0.35">
      <c r="A263" s="6" t="s">
        <v>298</v>
      </c>
      <c r="B263" s="6" t="s">
        <v>55</v>
      </c>
      <c r="C263" t="s">
        <v>357</v>
      </c>
      <c r="D263" t="s">
        <v>32</v>
      </c>
      <c r="F263" s="33" t="s">
        <v>278</v>
      </c>
      <c r="G263" s="33" t="s">
        <v>364</v>
      </c>
      <c r="H263" s="34">
        <v>1641</v>
      </c>
    </row>
    <row r="264" spans="1:8" ht="15.6" customHeight="1" thickBot="1" x14ac:dyDescent="0.35">
      <c r="A264" s="6" t="s">
        <v>299</v>
      </c>
      <c r="B264" s="6" t="s">
        <v>32</v>
      </c>
      <c r="C264" t="s">
        <v>32</v>
      </c>
      <c r="F264" s="33" t="s">
        <v>278</v>
      </c>
      <c r="G264" s="35" t="s">
        <v>365</v>
      </c>
      <c r="H264" s="34">
        <v>1641</v>
      </c>
    </row>
    <row r="265" spans="1:8" ht="15.6" customHeight="1" thickBot="1" x14ac:dyDescent="0.35">
      <c r="A265" s="6" t="s">
        <v>300</v>
      </c>
      <c r="B265" s="6" t="s">
        <v>55</v>
      </c>
      <c r="C265" t="s">
        <v>357</v>
      </c>
      <c r="D265" t="s">
        <v>32</v>
      </c>
      <c r="F265" s="33" t="s">
        <v>239</v>
      </c>
      <c r="G265" s="33" t="s">
        <v>367</v>
      </c>
      <c r="H265" s="34">
        <v>1633</v>
      </c>
    </row>
    <row r="266" spans="1:8" ht="15.6" customHeight="1" thickBot="1" x14ac:dyDescent="0.35">
      <c r="A266" s="6" t="s">
        <v>301</v>
      </c>
      <c r="B266" s="6" t="s">
        <v>41</v>
      </c>
      <c r="C266" t="s">
        <v>366</v>
      </c>
      <c r="D266" t="s">
        <v>362</v>
      </c>
      <c r="F266" s="33" t="s">
        <v>239</v>
      </c>
      <c r="G266" s="35" t="s">
        <v>368</v>
      </c>
      <c r="H266" s="34">
        <v>1633</v>
      </c>
    </row>
    <row r="267" spans="1:8" ht="15.6" customHeight="1" thickBot="1" x14ac:dyDescent="0.35">
      <c r="A267" s="6" t="s">
        <v>302</v>
      </c>
      <c r="B267" s="6" t="s">
        <v>41</v>
      </c>
      <c r="C267" t="s">
        <v>366</v>
      </c>
      <c r="D267" t="s">
        <v>362</v>
      </c>
      <c r="F267" s="36" t="s">
        <v>262</v>
      </c>
      <c r="G267" s="36" t="s">
        <v>367</v>
      </c>
      <c r="H267" s="37">
        <v>1628</v>
      </c>
    </row>
    <row r="268" spans="1:8" ht="15.6" customHeight="1" thickBot="1" x14ac:dyDescent="0.35">
      <c r="A268" s="6" t="s">
        <v>303</v>
      </c>
      <c r="B268" s="6" t="s">
        <v>50</v>
      </c>
      <c r="C268" t="s">
        <v>362</v>
      </c>
      <c r="D268" t="s">
        <v>371</v>
      </c>
      <c r="F268" s="36" t="s">
        <v>262</v>
      </c>
      <c r="G268" s="38" t="s">
        <v>368</v>
      </c>
      <c r="H268" s="37">
        <v>1628</v>
      </c>
    </row>
    <row r="269" spans="1:8" ht="15.6" customHeight="1" thickBot="1" x14ac:dyDescent="0.35">
      <c r="A269" s="6" t="s">
        <v>304</v>
      </c>
      <c r="B269" s="6" t="s">
        <v>64</v>
      </c>
      <c r="C269" t="s">
        <v>64</v>
      </c>
      <c r="F269" s="36" t="s">
        <v>44</v>
      </c>
      <c r="G269" s="36" t="s">
        <v>364</v>
      </c>
      <c r="H269" s="37">
        <v>1624</v>
      </c>
    </row>
    <row r="270" spans="1:8" ht="15.6" customHeight="1" thickBot="1" x14ac:dyDescent="0.35">
      <c r="A270" s="6" t="s">
        <v>305</v>
      </c>
      <c r="B270" s="6" t="s">
        <v>64</v>
      </c>
      <c r="C270" t="s">
        <v>64</v>
      </c>
      <c r="F270" s="33" t="s">
        <v>226</v>
      </c>
      <c r="G270" s="33" t="s">
        <v>364</v>
      </c>
      <c r="H270" s="34">
        <v>1624</v>
      </c>
    </row>
    <row r="271" spans="1:8" ht="15.6" customHeight="1" thickBot="1" x14ac:dyDescent="0.35">
      <c r="A271" s="6" t="s">
        <v>306</v>
      </c>
      <c r="B271" s="6" t="s">
        <v>19</v>
      </c>
      <c r="C271" t="s">
        <v>358</v>
      </c>
      <c r="D271" t="s">
        <v>359</v>
      </c>
      <c r="F271" s="33" t="s">
        <v>297</v>
      </c>
      <c r="G271" s="33" t="s">
        <v>355</v>
      </c>
      <c r="H271" s="34">
        <v>1624</v>
      </c>
    </row>
    <row r="272" spans="1:8" ht="15.6" customHeight="1" thickBot="1" x14ac:dyDescent="0.35">
      <c r="A272" s="6" t="s">
        <v>307</v>
      </c>
      <c r="B272" s="6" t="s">
        <v>24</v>
      </c>
      <c r="C272" t="s">
        <v>360</v>
      </c>
      <c r="D272" t="s">
        <v>361</v>
      </c>
      <c r="F272" s="36" t="s">
        <v>44</v>
      </c>
      <c r="G272" s="38" t="s">
        <v>365</v>
      </c>
      <c r="H272" s="37">
        <v>1624</v>
      </c>
    </row>
    <row r="273" spans="1:8" ht="15.6" customHeight="1" thickBot="1" x14ac:dyDescent="0.35">
      <c r="A273" s="6" t="s">
        <v>308</v>
      </c>
      <c r="B273" s="6" t="s">
        <v>55</v>
      </c>
      <c r="C273" t="s">
        <v>357</v>
      </c>
      <c r="D273" t="s">
        <v>32</v>
      </c>
      <c r="F273" s="33" t="s">
        <v>226</v>
      </c>
      <c r="G273" s="35" t="s">
        <v>365</v>
      </c>
      <c r="H273" s="34">
        <v>1624</v>
      </c>
    </row>
    <row r="274" spans="1:8" ht="15.6" customHeight="1" thickBot="1" x14ac:dyDescent="0.35">
      <c r="A274" s="6" t="s">
        <v>309</v>
      </c>
      <c r="B274" s="6" t="s">
        <v>115</v>
      </c>
      <c r="C274" t="s">
        <v>369</v>
      </c>
      <c r="D274" t="s">
        <v>370</v>
      </c>
      <c r="F274" s="33" t="s">
        <v>297</v>
      </c>
      <c r="G274" s="35" t="s">
        <v>356</v>
      </c>
      <c r="H274" s="34">
        <v>1624</v>
      </c>
    </row>
    <row r="275" spans="1:8" ht="15.6" customHeight="1" thickBot="1" x14ac:dyDescent="0.35">
      <c r="A275" s="6" t="s">
        <v>310</v>
      </c>
      <c r="B275" s="6" t="s">
        <v>35</v>
      </c>
      <c r="C275" t="s">
        <v>364</v>
      </c>
      <c r="D275" t="s">
        <v>365</v>
      </c>
      <c r="F275" s="33" t="s">
        <v>58</v>
      </c>
      <c r="G275" s="33" t="s">
        <v>366</v>
      </c>
      <c r="H275" s="34">
        <v>1612</v>
      </c>
    </row>
    <row r="276" spans="1:8" ht="15.6" customHeight="1" thickBot="1" x14ac:dyDescent="0.35">
      <c r="A276" s="6" t="s">
        <v>311</v>
      </c>
      <c r="B276" s="6" t="s">
        <v>37</v>
      </c>
      <c r="C276" t="s">
        <v>367</v>
      </c>
      <c r="D276" t="s">
        <v>368</v>
      </c>
      <c r="F276" s="33" t="s">
        <v>58</v>
      </c>
      <c r="G276" s="35" t="s">
        <v>362</v>
      </c>
      <c r="H276" s="34">
        <v>1612</v>
      </c>
    </row>
    <row r="277" spans="1:8" ht="15.6" customHeight="1" thickBot="1" x14ac:dyDescent="0.35">
      <c r="A277" s="6" t="s">
        <v>312</v>
      </c>
      <c r="B277" s="6" t="s">
        <v>28</v>
      </c>
      <c r="C277" t="s">
        <v>362</v>
      </c>
      <c r="D277" t="s">
        <v>363</v>
      </c>
      <c r="F277" s="33" t="s">
        <v>178</v>
      </c>
      <c r="G277" s="33" t="s">
        <v>360</v>
      </c>
      <c r="H277" s="34">
        <v>1594</v>
      </c>
    </row>
    <row r="278" spans="1:8" ht="15.6" customHeight="1" thickBot="1" x14ac:dyDescent="0.35">
      <c r="A278" s="6" t="s">
        <v>313</v>
      </c>
      <c r="B278" s="6" t="s">
        <v>64</v>
      </c>
      <c r="C278" t="s">
        <v>64</v>
      </c>
      <c r="F278" s="33" t="s">
        <v>178</v>
      </c>
      <c r="G278" s="35" t="s">
        <v>361</v>
      </c>
      <c r="H278" s="34">
        <v>1594</v>
      </c>
    </row>
    <row r="279" spans="1:8" ht="15.6" customHeight="1" thickBot="1" x14ac:dyDescent="0.35">
      <c r="A279" s="6" t="s">
        <v>314</v>
      </c>
      <c r="B279" s="6" t="s">
        <v>35</v>
      </c>
      <c r="C279" t="s">
        <v>364</v>
      </c>
      <c r="D279" t="s">
        <v>365</v>
      </c>
      <c r="F279" s="33" t="s">
        <v>274</v>
      </c>
      <c r="G279" s="33" t="s">
        <v>366</v>
      </c>
      <c r="H279" s="34">
        <v>1587</v>
      </c>
    </row>
    <row r="280" spans="1:8" ht="15.6" customHeight="1" thickBot="1" x14ac:dyDescent="0.35">
      <c r="A280" s="6" t="s">
        <v>315</v>
      </c>
      <c r="B280" s="6" t="s">
        <v>28</v>
      </c>
      <c r="C280" t="s">
        <v>362</v>
      </c>
      <c r="D280" t="s">
        <v>363</v>
      </c>
      <c r="F280" s="33" t="s">
        <v>274</v>
      </c>
      <c r="G280" s="35" t="s">
        <v>362</v>
      </c>
      <c r="H280" s="34">
        <v>1587</v>
      </c>
    </row>
    <row r="281" spans="1:8" ht="15.6" customHeight="1" thickBot="1" x14ac:dyDescent="0.35">
      <c r="A281" s="6" t="s">
        <v>316</v>
      </c>
      <c r="B281" s="6" t="s">
        <v>35</v>
      </c>
      <c r="C281" t="s">
        <v>364</v>
      </c>
      <c r="D281" t="s">
        <v>365</v>
      </c>
      <c r="F281" s="33" t="s">
        <v>59</v>
      </c>
      <c r="G281" s="33" t="s">
        <v>367</v>
      </c>
      <c r="H281" s="34">
        <v>1585</v>
      </c>
    </row>
    <row r="282" spans="1:8" ht="15.6" customHeight="1" thickBot="1" x14ac:dyDescent="0.35">
      <c r="A282" s="6" t="s">
        <v>317</v>
      </c>
      <c r="B282" s="6" t="s">
        <v>50</v>
      </c>
      <c r="C282" t="s">
        <v>362</v>
      </c>
      <c r="D282" t="s">
        <v>371</v>
      </c>
      <c r="F282" s="33" t="s">
        <v>59</v>
      </c>
      <c r="G282" s="35" t="s">
        <v>368</v>
      </c>
      <c r="H282" s="34">
        <v>1585</v>
      </c>
    </row>
    <row r="283" spans="1:8" ht="15.6" customHeight="1" thickBot="1" x14ac:dyDescent="0.35">
      <c r="A283" s="6" t="s">
        <v>318</v>
      </c>
      <c r="B283" s="6" t="s">
        <v>28</v>
      </c>
      <c r="C283" t="s">
        <v>362</v>
      </c>
      <c r="D283" t="s">
        <v>363</v>
      </c>
      <c r="F283" s="33" t="s">
        <v>17</v>
      </c>
      <c r="G283" s="33" t="s">
        <v>358</v>
      </c>
      <c r="H283" s="34">
        <v>1574</v>
      </c>
    </row>
    <row r="284" spans="1:8" ht="15.6" customHeight="1" thickBot="1" x14ac:dyDescent="0.35">
      <c r="A284" s="6" t="s">
        <v>319</v>
      </c>
      <c r="B284" s="6" t="s">
        <v>37</v>
      </c>
      <c r="C284" t="s">
        <v>367</v>
      </c>
      <c r="D284" t="s">
        <v>368</v>
      </c>
      <c r="F284" s="33" t="s">
        <v>17</v>
      </c>
      <c r="G284" s="35" t="s">
        <v>359</v>
      </c>
      <c r="H284" s="34">
        <v>1574</v>
      </c>
    </row>
    <row r="285" spans="1:8" ht="15.6" customHeight="1" thickBot="1" x14ac:dyDescent="0.35">
      <c r="A285" s="6" t="s">
        <v>320</v>
      </c>
      <c r="B285" s="6" t="s">
        <v>35</v>
      </c>
      <c r="C285" t="s">
        <v>364</v>
      </c>
      <c r="D285" t="s">
        <v>365</v>
      </c>
      <c r="F285" s="33" t="s">
        <v>336</v>
      </c>
      <c r="G285" s="33" t="s">
        <v>366</v>
      </c>
      <c r="H285" s="34">
        <v>1573</v>
      </c>
    </row>
    <row r="286" spans="1:8" ht="15.6" customHeight="1" thickBot="1" x14ac:dyDescent="0.35">
      <c r="A286" s="6" t="s">
        <v>321</v>
      </c>
      <c r="B286" s="6" t="s">
        <v>15</v>
      </c>
      <c r="C286" t="s">
        <v>355</v>
      </c>
      <c r="D286" t="s">
        <v>356</v>
      </c>
      <c r="F286" s="33" t="s">
        <v>336</v>
      </c>
      <c r="G286" s="35" t="s">
        <v>362</v>
      </c>
      <c r="H286" s="34">
        <v>1573</v>
      </c>
    </row>
    <row r="287" spans="1:8" ht="15.6" customHeight="1" thickBot="1" x14ac:dyDescent="0.35">
      <c r="A287" s="6" t="s">
        <v>322</v>
      </c>
      <c r="B287" s="6" t="s">
        <v>37</v>
      </c>
      <c r="C287" t="s">
        <v>367</v>
      </c>
      <c r="D287" t="s">
        <v>368</v>
      </c>
      <c r="F287" s="33" t="s">
        <v>298</v>
      </c>
      <c r="G287" s="33" t="s">
        <v>357</v>
      </c>
      <c r="H287" s="34">
        <v>1566</v>
      </c>
    </row>
    <row r="288" spans="1:8" ht="15.6" customHeight="1" thickBot="1" x14ac:dyDescent="0.35">
      <c r="A288" s="6" t="s">
        <v>323</v>
      </c>
      <c r="B288" s="6" t="s">
        <v>28</v>
      </c>
      <c r="C288" t="s">
        <v>362</v>
      </c>
      <c r="D288" t="s">
        <v>363</v>
      </c>
      <c r="F288" s="33" t="s">
        <v>298</v>
      </c>
      <c r="G288" s="35" t="s">
        <v>32</v>
      </c>
      <c r="H288" s="34">
        <v>1566</v>
      </c>
    </row>
    <row r="289" spans="1:8" ht="15.6" customHeight="1" thickBot="1" x14ac:dyDescent="0.35">
      <c r="A289" s="6" t="s">
        <v>324</v>
      </c>
      <c r="B289" s="6" t="s">
        <v>37</v>
      </c>
      <c r="C289" t="s">
        <v>367</v>
      </c>
      <c r="D289" t="s">
        <v>368</v>
      </c>
      <c r="F289" s="33" t="s">
        <v>121</v>
      </c>
      <c r="G289" s="33" t="s">
        <v>364</v>
      </c>
      <c r="H289" s="34">
        <v>1565</v>
      </c>
    </row>
    <row r="290" spans="1:8" ht="15.6" customHeight="1" thickBot="1" x14ac:dyDescent="0.35">
      <c r="A290" s="6" t="s">
        <v>325</v>
      </c>
      <c r="B290" s="6" t="s">
        <v>35</v>
      </c>
      <c r="C290" t="s">
        <v>364</v>
      </c>
      <c r="D290" t="s">
        <v>365</v>
      </c>
      <c r="F290" s="33" t="s">
        <v>121</v>
      </c>
      <c r="G290" s="35" t="s">
        <v>365</v>
      </c>
      <c r="H290" s="34">
        <v>1565</v>
      </c>
    </row>
    <row r="291" spans="1:8" ht="15.6" customHeight="1" thickBot="1" x14ac:dyDescent="0.35">
      <c r="A291" s="6" t="s">
        <v>326</v>
      </c>
      <c r="B291" s="6" t="s">
        <v>32</v>
      </c>
      <c r="C291" t="s">
        <v>32</v>
      </c>
      <c r="F291" s="33" t="s">
        <v>202</v>
      </c>
      <c r="G291" s="33" t="s">
        <v>362</v>
      </c>
      <c r="H291" s="34">
        <v>1559</v>
      </c>
    </row>
    <row r="292" spans="1:8" ht="15.6" customHeight="1" thickBot="1" x14ac:dyDescent="0.35">
      <c r="A292" s="6" t="s">
        <v>327</v>
      </c>
      <c r="B292" s="6" t="s">
        <v>35</v>
      </c>
      <c r="C292" t="s">
        <v>364</v>
      </c>
      <c r="D292" t="s">
        <v>365</v>
      </c>
      <c r="F292" s="33" t="s">
        <v>202</v>
      </c>
      <c r="G292" s="35" t="s">
        <v>371</v>
      </c>
      <c r="H292" s="34">
        <v>1559</v>
      </c>
    </row>
    <row r="293" spans="1:8" ht="15.6" customHeight="1" thickBot="1" x14ac:dyDescent="0.35">
      <c r="A293" s="6" t="s">
        <v>328</v>
      </c>
      <c r="B293" s="6" t="s">
        <v>35</v>
      </c>
      <c r="C293" t="s">
        <v>364</v>
      </c>
      <c r="D293" t="s">
        <v>365</v>
      </c>
      <c r="F293" s="33" t="s">
        <v>95</v>
      </c>
      <c r="G293" s="33" t="s">
        <v>367</v>
      </c>
      <c r="H293" s="34">
        <v>1556</v>
      </c>
    </row>
    <row r="294" spans="1:8" ht="15.6" customHeight="1" thickBot="1" x14ac:dyDescent="0.35">
      <c r="A294" s="6" t="s">
        <v>329</v>
      </c>
      <c r="B294" s="6" t="s">
        <v>50</v>
      </c>
      <c r="C294" t="s">
        <v>362</v>
      </c>
      <c r="D294" t="s">
        <v>371</v>
      </c>
      <c r="F294" s="33" t="s">
        <v>107</v>
      </c>
      <c r="G294" s="33" t="s">
        <v>362</v>
      </c>
      <c r="H294" s="34">
        <v>1556</v>
      </c>
    </row>
    <row r="295" spans="1:8" ht="15.6" customHeight="1" thickBot="1" x14ac:dyDescent="0.35">
      <c r="A295" s="6" t="s">
        <v>330</v>
      </c>
      <c r="B295" s="6" t="s">
        <v>55</v>
      </c>
      <c r="C295" t="s">
        <v>357</v>
      </c>
      <c r="D295" t="s">
        <v>32</v>
      </c>
      <c r="F295" s="33" t="s">
        <v>95</v>
      </c>
      <c r="G295" s="35" t="s">
        <v>368</v>
      </c>
      <c r="H295" s="34">
        <v>1556</v>
      </c>
    </row>
    <row r="296" spans="1:8" ht="15.6" customHeight="1" thickBot="1" x14ac:dyDescent="0.35">
      <c r="A296" s="6" t="s">
        <v>331</v>
      </c>
      <c r="B296" s="6" t="s">
        <v>15</v>
      </c>
      <c r="C296" t="s">
        <v>355</v>
      </c>
      <c r="D296" t="s">
        <v>356</v>
      </c>
      <c r="F296" s="33" t="s">
        <v>107</v>
      </c>
      <c r="G296" s="35" t="s">
        <v>371</v>
      </c>
      <c r="H296" s="34">
        <v>1556</v>
      </c>
    </row>
    <row r="297" spans="1:8" ht="15.6" customHeight="1" thickBot="1" x14ac:dyDescent="0.35">
      <c r="A297" s="6" t="s">
        <v>332</v>
      </c>
      <c r="B297" s="6" t="s">
        <v>115</v>
      </c>
      <c r="C297" t="s">
        <v>369</v>
      </c>
      <c r="D297" t="s">
        <v>370</v>
      </c>
      <c r="F297" s="33" t="s">
        <v>138</v>
      </c>
      <c r="G297" s="33" t="s">
        <v>32</v>
      </c>
      <c r="H297" s="34">
        <v>1550</v>
      </c>
    </row>
    <row r="298" spans="1:8" ht="15.6" customHeight="1" thickBot="1" x14ac:dyDescent="0.35">
      <c r="A298" s="6" t="s">
        <v>333</v>
      </c>
      <c r="B298" s="6" t="s">
        <v>64</v>
      </c>
      <c r="C298" t="s">
        <v>64</v>
      </c>
      <c r="F298" s="33" t="s">
        <v>108</v>
      </c>
      <c r="G298" s="33" t="s">
        <v>355</v>
      </c>
      <c r="H298" s="34">
        <v>1547</v>
      </c>
    </row>
    <row r="299" spans="1:8" ht="15.6" customHeight="1" thickBot="1" x14ac:dyDescent="0.35">
      <c r="A299" s="6" t="s">
        <v>334</v>
      </c>
      <c r="B299" s="6" t="s">
        <v>41</v>
      </c>
      <c r="C299" t="s">
        <v>366</v>
      </c>
      <c r="D299" t="s">
        <v>362</v>
      </c>
      <c r="F299" s="33" t="s">
        <v>91</v>
      </c>
      <c r="G299" s="33" t="s">
        <v>366</v>
      </c>
      <c r="H299" s="34">
        <v>1547</v>
      </c>
    </row>
    <row r="300" spans="1:8" ht="15.6" customHeight="1" thickBot="1" x14ac:dyDescent="0.35">
      <c r="A300" s="6" t="s">
        <v>335</v>
      </c>
      <c r="B300" s="6" t="s">
        <v>55</v>
      </c>
      <c r="C300" t="s">
        <v>357</v>
      </c>
      <c r="D300" t="s">
        <v>32</v>
      </c>
      <c r="F300" s="33" t="s">
        <v>108</v>
      </c>
      <c r="G300" s="35" t="s">
        <v>356</v>
      </c>
      <c r="H300" s="34">
        <v>1547</v>
      </c>
    </row>
    <row r="301" spans="1:8" ht="15.6" customHeight="1" thickBot="1" x14ac:dyDescent="0.35">
      <c r="A301" s="6" t="s">
        <v>336</v>
      </c>
      <c r="B301" s="6" t="s">
        <v>41</v>
      </c>
      <c r="C301" t="s">
        <v>366</v>
      </c>
      <c r="D301" t="s">
        <v>362</v>
      </c>
      <c r="F301" s="33" t="s">
        <v>91</v>
      </c>
      <c r="G301" s="35" t="s">
        <v>362</v>
      </c>
      <c r="H301" s="34">
        <v>1547</v>
      </c>
    </row>
    <row r="302" spans="1:8" ht="15.6" customHeight="1" thickBot="1" x14ac:dyDescent="0.35">
      <c r="F302" s="33" t="s">
        <v>113</v>
      </c>
      <c r="G302" s="39" t="s">
        <v>364</v>
      </c>
      <c r="H302" s="34">
        <v>1545</v>
      </c>
    </row>
    <row r="303" spans="1:8" ht="15.6" customHeight="1" thickBot="1" x14ac:dyDescent="0.35">
      <c r="F303" s="33" t="s">
        <v>113</v>
      </c>
      <c r="G303" s="40" t="s">
        <v>365</v>
      </c>
      <c r="H303" s="34">
        <v>1545</v>
      </c>
    </row>
    <row r="304" spans="1:8" ht="15.6" customHeight="1" thickBot="1" x14ac:dyDescent="0.35">
      <c r="F304" s="33" t="s">
        <v>318</v>
      </c>
      <c r="G304" s="39" t="s">
        <v>362</v>
      </c>
      <c r="H304" s="34">
        <v>1530</v>
      </c>
    </row>
    <row r="305" spans="6:8" ht="15.6" customHeight="1" thickBot="1" x14ac:dyDescent="0.35">
      <c r="F305" s="33" t="s">
        <v>318</v>
      </c>
      <c r="G305" s="40" t="s">
        <v>363</v>
      </c>
      <c r="H305" s="34">
        <v>1530</v>
      </c>
    </row>
    <row r="306" spans="6:8" ht="15.6" customHeight="1" thickBot="1" x14ac:dyDescent="0.35">
      <c r="F306" s="36" t="s">
        <v>118</v>
      </c>
      <c r="G306" s="41" t="s">
        <v>364</v>
      </c>
      <c r="H306" s="37">
        <v>1519</v>
      </c>
    </row>
    <row r="307" spans="6:8" ht="15.6" customHeight="1" thickBot="1" x14ac:dyDescent="0.35">
      <c r="F307" s="36" t="s">
        <v>118</v>
      </c>
      <c r="G307" s="42" t="s">
        <v>365</v>
      </c>
      <c r="H307" s="37">
        <v>1519</v>
      </c>
    </row>
    <row r="308" spans="6:8" ht="15.6" customHeight="1" thickBot="1" x14ac:dyDescent="0.35">
      <c r="F308" s="33" t="s">
        <v>21</v>
      </c>
      <c r="G308" s="39" t="s">
        <v>360</v>
      </c>
      <c r="H308" s="34">
        <v>1499</v>
      </c>
    </row>
    <row r="309" spans="6:8" ht="15.6" customHeight="1" thickBot="1" x14ac:dyDescent="0.35">
      <c r="F309" s="33" t="s">
        <v>21</v>
      </c>
      <c r="G309" s="40" t="s">
        <v>361</v>
      </c>
      <c r="H309" s="34">
        <v>1499</v>
      </c>
    </row>
    <row r="310" spans="6:8" ht="15.6" customHeight="1" thickBot="1" x14ac:dyDescent="0.35">
      <c r="F310" s="33" t="s">
        <v>70</v>
      </c>
      <c r="G310" s="39" t="s">
        <v>362</v>
      </c>
      <c r="H310" s="34">
        <v>1493</v>
      </c>
    </row>
    <row r="311" spans="6:8" ht="15.6" customHeight="1" thickBot="1" x14ac:dyDescent="0.35">
      <c r="F311" s="33" t="s">
        <v>70</v>
      </c>
      <c r="G311" s="40" t="s">
        <v>371</v>
      </c>
      <c r="H311" s="34">
        <v>1493</v>
      </c>
    </row>
    <row r="312" spans="6:8" ht="15.6" customHeight="1" thickBot="1" x14ac:dyDescent="0.35">
      <c r="F312" s="33" t="s">
        <v>43</v>
      </c>
      <c r="G312" s="39" t="s">
        <v>358</v>
      </c>
      <c r="H312" s="34">
        <v>1437</v>
      </c>
    </row>
    <row r="313" spans="6:8" ht="15.6" customHeight="1" thickBot="1" x14ac:dyDescent="0.35">
      <c r="F313" s="33" t="s">
        <v>43</v>
      </c>
      <c r="G313" s="40" t="s">
        <v>359</v>
      </c>
      <c r="H313" s="34">
        <v>1437</v>
      </c>
    </row>
    <row r="314" spans="6:8" ht="15.6" customHeight="1" thickBot="1" x14ac:dyDescent="0.35">
      <c r="F314" s="33" t="s">
        <v>94</v>
      </c>
      <c r="G314" s="39" t="s">
        <v>367</v>
      </c>
      <c r="H314" s="34">
        <v>1436</v>
      </c>
    </row>
    <row r="315" spans="6:8" ht="15.6" customHeight="1" thickBot="1" x14ac:dyDescent="0.35">
      <c r="F315" s="33" t="s">
        <v>94</v>
      </c>
      <c r="G315" s="40" t="s">
        <v>368</v>
      </c>
      <c r="H315" s="34">
        <v>1436</v>
      </c>
    </row>
    <row r="316" spans="6:8" ht="15.6" customHeight="1" thickBot="1" x14ac:dyDescent="0.35">
      <c r="F316" s="33" t="s">
        <v>233</v>
      </c>
      <c r="G316" s="39" t="s">
        <v>360</v>
      </c>
      <c r="H316" s="34">
        <v>1411</v>
      </c>
    </row>
    <row r="317" spans="6:8" ht="15.6" customHeight="1" thickBot="1" x14ac:dyDescent="0.35">
      <c r="F317" s="33" t="s">
        <v>233</v>
      </c>
      <c r="G317" s="40" t="s">
        <v>361</v>
      </c>
      <c r="H317" s="34">
        <v>1411</v>
      </c>
    </row>
    <row r="318" spans="6:8" ht="15.6" customHeight="1" thickBot="1" x14ac:dyDescent="0.35">
      <c r="F318" s="33" t="s">
        <v>240</v>
      </c>
      <c r="G318" s="39" t="s">
        <v>32</v>
      </c>
      <c r="H318" s="34">
        <v>1409</v>
      </c>
    </row>
    <row r="319" spans="6:8" ht="15.6" customHeight="1" thickBot="1" x14ac:dyDescent="0.35">
      <c r="F319" s="33" t="s">
        <v>284</v>
      </c>
      <c r="G319" s="39" t="s">
        <v>362</v>
      </c>
      <c r="H319" s="34">
        <v>1407</v>
      </c>
    </row>
    <row r="320" spans="6:8" ht="15.6" customHeight="1" thickBot="1" x14ac:dyDescent="0.35">
      <c r="F320" s="33" t="s">
        <v>277</v>
      </c>
      <c r="G320" s="39" t="s">
        <v>357</v>
      </c>
      <c r="H320" s="34">
        <v>1407</v>
      </c>
    </row>
    <row r="321" spans="6:8" ht="15.6" customHeight="1" thickBot="1" x14ac:dyDescent="0.35">
      <c r="F321" s="33" t="s">
        <v>284</v>
      </c>
      <c r="G321" s="40" t="s">
        <v>371</v>
      </c>
      <c r="H321" s="34">
        <v>1407</v>
      </c>
    </row>
    <row r="322" spans="6:8" ht="15.6" customHeight="1" thickBot="1" x14ac:dyDescent="0.35">
      <c r="F322" s="33" t="s">
        <v>277</v>
      </c>
      <c r="G322" s="40" t="s">
        <v>32</v>
      </c>
      <c r="H322" s="34">
        <v>1407</v>
      </c>
    </row>
    <row r="323" spans="6:8" ht="15.6" customHeight="1" thickBot="1" x14ac:dyDescent="0.35">
      <c r="F323" s="36" t="s">
        <v>157</v>
      </c>
      <c r="G323" s="41" t="s">
        <v>355</v>
      </c>
      <c r="H323" s="37">
        <v>1398</v>
      </c>
    </row>
    <row r="324" spans="6:8" ht="15.6" customHeight="1" thickBot="1" x14ac:dyDescent="0.35">
      <c r="F324" s="36" t="s">
        <v>157</v>
      </c>
      <c r="G324" s="42" t="s">
        <v>356</v>
      </c>
      <c r="H324" s="37">
        <v>1398</v>
      </c>
    </row>
    <row r="325" spans="6:8" ht="15.6" customHeight="1" thickBot="1" x14ac:dyDescent="0.35">
      <c r="F325" s="33" t="s">
        <v>215</v>
      </c>
      <c r="G325" s="39" t="s">
        <v>362</v>
      </c>
      <c r="H325" s="34">
        <v>1387</v>
      </c>
    </row>
    <row r="326" spans="6:8" ht="15.6" customHeight="1" thickBot="1" x14ac:dyDescent="0.35">
      <c r="F326" s="33" t="s">
        <v>215</v>
      </c>
      <c r="G326" s="40" t="s">
        <v>371</v>
      </c>
      <c r="H326" s="34">
        <v>1387</v>
      </c>
    </row>
    <row r="327" spans="6:8" ht="15.6" customHeight="1" thickBot="1" x14ac:dyDescent="0.35">
      <c r="F327" s="33" t="s">
        <v>182</v>
      </c>
      <c r="G327" s="39" t="s">
        <v>357</v>
      </c>
      <c r="H327" s="34">
        <v>1383</v>
      </c>
    </row>
    <row r="328" spans="6:8" ht="15.6" customHeight="1" thickBot="1" x14ac:dyDescent="0.35">
      <c r="F328" s="33" t="s">
        <v>182</v>
      </c>
      <c r="G328" s="40" t="s">
        <v>32</v>
      </c>
      <c r="H328" s="34">
        <v>1383</v>
      </c>
    </row>
    <row r="329" spans="6:8" ht="15.6" customHeight="1" thickBot="1" x14ac:dyDescent="0.35">
      <c r="F329" s="33" t="s">
        <v>311</v>
      </c>
      <c r="G329" s="39" t="s">
        <v>367</v>
      </c>
      <c r="H329" s="34">
        <v>1382</v>
      </c>
    </row>
    <row r="330" spans="6:8" ht="15.6" customHeight="1" thickBot="1" x14ac:dyDescent="0.35">
      <c r="F330" s="33" t="s">
        <v>311</v>
      </c>
      <c r="G330" s="40" t="s">
        <v>368</v>
      </c>
      <c r="H330" s="34">
        <v>1382</v>
      </c>
    </row>
    <row r="331" spans="6:8" ht="15.6" customHeight="1" thickBot="1" x14ac:dyDescent="0.35">
      <c r="F331" s="33" t="s">
        <v>79</v>
      </c>
      <c r="G331" s="39" t="s">
        <v>357</v>
      </c>
      <c r="H331" s="34">
        <v>1354</v>
      </c>
    </row>
    <row r="332" spans="6:8" ht="15.6" customHeight="1" thickBot="1" x14ac:dyDescent="0.35">
      <c r="F332" s="33" t="s">
        <v>79</v>
      </c>
      <c r="G332" s="40" t="s">
        <v>32</v>
      </c>
      <c r="H332" s="34">
        <v>1354</v>
      </c>
    </row>
    <row r="333" spans="6:8" ht="15.6" customHeight="1" thickBot="1" x14ac:dyDescent="0.35">
      <c r="F333" s="33" t="s">
        <v>188</v>
      </c>
      <c r="G333" s="39" t="s">
        <v>369</v>
      </c>
      <c r="H333" s="34">
        <v>1350</v>
      </c>
    </row>
    <row r="334" spans="6:8" ht="15.6" customHeight="1" thickBot="1" x14ac:dyDescent="0.35">
      <c r="F334" s="33" t="s">
        <v>188</v>
      </c>
      <c r="G334" s="40" t="s">
        <v>370</v>
      </c>
      <c r="H334" s="34">
        <v>1350</v>
      </c>
    </row>
    <row r="335" spans="6:8" ht="15.6" customHeight="1" thickBot="1" x14ac:dyDescent="0.35">
      <c r="F335" s="33" t="s">
        <v>124</v>
      </c>
      <c r="G335" s="39" t="s">
        <v>358</v>
      </c>
      <c r="H335" s="34">
        <v>1340</v>
      </c>
    </row>
    <row r="336" spans="6:8" ht="15.6" customHeight="1" thickBot="1" x14ac:dyDescent="0.35">
      <c r="F336" s="33" t="s">
        <v>124</v>
      </c>
      <c r="G336" s="40" t="s">
        <v>359</v>
      </c>
      <c r="H336" s="34">
        <v>1340</v>
      </c>
    </row>
    <row r="337" spans="6:8" ht="15.6" customHeight="1" thickBot="1" x14ac:dyDescent="0.35">
      <c r="F337" s="33" t="s">
        <v>142</v>
      </c>
      <c r="G337" s="39" t="s">
        <v>367</v>
      </c>
      <c r="H337" s="34">
        <v>1330</v>
      </c>
    </row>
    <row r="338" spans="6:8" ht="15.6" customHeight="1" thickBot="1" x14ac:dyDescent="0.35">
      <c r="F338" s="33" t="s">
        <v>142</v>
      </c>
      <c r="G338" s="40" t="s">
        <v>368</v>
      </c>
      <c r="H338" s="34">
        <v>1330</v>
      </c>
    </row>
    <row r="339" spans="6:8" ht="15.6" customHeight="1" thickBot="1" x14ac:dyDescent="0.35">
      <c r="F339" s="33" t="s">
        <v>207</v>
      </c>
      <c r="G339" s="39" t="s">
        <v>355</v>
      </c>
      <c r="H339" s="34">
        <v>1316</v>
      </c>
    </row>
    <row r="340" spans="6:8" ht="15.6" customHeight="1" thickBot="1" x14ac:dyDescent="0.35">
      <c r="F340" s="33" t="s">
        <v>207</v>
      </c>
      <c r="G340" s="40" t="s">
        <v>356</v>
      </c>
      <c r="H340" s="34">
        <v>1316</v>
      </c>
    </row>
    <row r="341" spans="6:8" ht="15.6" customHeight="1" thickBot="1" x14ac:dyDescent="0.35">
      <c r="F341" s="33" t="s">
        <v>208</v>
      </c>
      <c r="G341" s="39" t="s">
        <v>369</v>
      </c>
      <c r="H341" s="34">
        <v>1313</v>
      </c>
    </row>
    <row r="342" spans="6:8" ht="15.6" customHeight="1" thickBot="1" x14ac:dyDescent="0.35">
      <c r="F342" s="33" t="s">
        <v>208</v>
      </c>
      <c r="G342" s="40" t="s">
        <v>370</v>
      </c>
      <c r="H342" s="34">
        <v>1313</v>
      </c>
    </row>
    <row r="343" spans="6:8" ht="15.6" customHeight="1" thickBot="1" x14ac:dyDescent="0.35">
      <c r="F343" s="33" t="s">
        <v>102</v>
      </c>
      <c r="G343" s="39" t="s">
        <v>367</v>
      </c>
      <c r="H343" s="34">
        <v>1307</v>
      </c>
    </row>
    <row r="344" spans="6:8" ht="15.6" customHeight="1" thickBot="1" x14ac:dyDescent="0.35">
      <c r="F344" s="33" t="s">
        <v>102</v>
      </c>
      <c r="G344" s="40" t="s">
        <v>368</v>
      </c>
      <c r="H344" s="34">
        <v>1307</v>
      </c>
    </row>
    <row r="345" spans="6:8" ht="15.6" customHeight="1" thickBot="1" x14ac:dyDescent="0.35">
      <c r="F345" s="33" t="s">
        <v>109</v>
      </c>
      <c r="G345" s="39" t="s">
        <v>362</v>
      </c>
      <c r="H345" s="34">
        <v>1293</v>
      </c>
    </row>
    <row r="346" spans="6:8" ht="15.6" customHeight="1" thickBot="1" x14ac:dyDescent="0.35">
      <c r="F346" s="33" t="s">
        <v>109</v>
      </c>
      <c r="G346" s="40" t="s">
        <v>363</v>
      </c>
      <c r="H346" s="34">
        <v>1293</v>
      </c>
    </row>
    <row r="347" spans="6:8" ht="15.6" customHeight="1" thickBot="1" x14ac:dyDescent="0.35">
      <c r="F347" s="33" t="s">
        <v>116</v>
      </c>
      <c r="G347" s="39" t="s">
        <v>355</v>
      </c>
      <c r="H347" s="34">
        <v>1288</v>
      </c>
    </row>
    <row r="348" spans="6:8" ht="15.6" customHeight="1" thickBot="1" x14ac:dyDescent="0.35">
      <c r="F348" s="33" t="s">
        <v>162</v>
      </c>
      <c r="G348" s="39" t="s">
        <v>367</v>
      </c>
      <c r="H348" s="34">
        <v>1288</v>
      </c>
    </row>
    <row r="349" spans="6:8" ht="15.6" customHeight="1" thickBot="1" x14ac:dyDescent="0.35">
      <c r="F349" s="33" t="s">
        <v>116</v>
      </c>
      <c r="G349" s="40" t="s">
        <v>356</v>
      </c>
      <c r="H349" s="34">
        <v>1288</v>
      </c>
    </row>
    <row r="350" spans="6:8" ht="15.6" customHeight="1" thickBot="1" x14ac:dyDescent="0.35">
      <c r="F350" s="33" t="s">
        <v>162</v>
      </c>
      <c r="G350" s="40" t="s">
        <v>368</v>
      </c>
      <c r="H350" s="34">
        <v>1288</v>
      </c>
    </row>
    <row r="351" spans="6:8" ht="15.6" customHeight="1" thickBot="1" x14ac:dyDescent="0.35">
      <c r="F351" s="33" t="s">
        <v>184</v>
      </c>
      <c r="G351" s="39" t="s">
        <v>366</v>
      </c>
      <c r="H351" s="34">
        <v>1284</v>
      </c>
    </row>
    <row r="352" spans="6:8" ht="15.6" customHeight="1" thickBot="1" x14ac:dyDescent="0.35">
      <c r="F352" s="33" t="s">
        <v>184</v>
      </c>
      <c r="G352" s="40" t="s">
        <v>362</v>
      </c>
      <c r="H352" s="34">
        <v>1284</v>
      </c>
    </row>
    <row r="353" spans="6:8" ht="15.6" customHeight="1" thickBot="1" x14ac:dyDescent="0.35">
      <c r="F353" s="33" t="s">
        <v>160</v>
      </c>
      <c r="G353" s="39" t="s">
        <v>357</v>
      </c>
      <c r="H353" s="34">
        <v>1273</v>
      </c>
    </row>
    <row r="354" spans="6:8" ht="15.6" customHeight="1" thickBot="1" x14ac:dyDescent="0.35">
      <c r="F354" s="33" t="s">
        <v>160</v>
      </c>
      <c r="G354" s="40" t="s">
        <v>32</v>
      </c>
      <c r="H354" s="34">
        <v>1273</v>
      </c>
    </row>
    <row r="355" spans="6:8" ht="15.6" customHeight="1" thickBot="1" x14ac:dyDescent="0.35">
      <c r="F355" s="33" t="s">
        <v>39</v>
      </c>
      <c r="G355" s="39" t="s">
        <v>366</v>
      </c>
      <c r="H355" s="34">
        <v>1272</v>
      </c>
    </row>
    <row r="356" spans="6:8" ht="15.6" customHeight="1" thickBot="1" x14ac:dyDescent="0.35">
      <c r="F356" s="33" t="s">
        <v>39</v>
      </c>
      <c r="G356" s="40" t="s">
        <v>362</v>
      </c>
      <c r="H356" s="34">
        <v>1272</v>
      </c>
    </row>
    <row r="357" spans="6:8" ht="15.6" customHeight="1" thickBot="1" x14ac:dyDescent="0.35">
      <c r="F357" s="33" t="s">
        <v>294</v>
      </c>
      <c r="G357" s="39" t="s">
        <v>355</v>
      </c>
      <c r="H357" s="34">
        <v>1270</v>
      </c>
    </row>
    <row r="358" spans="6:8" ht="15.6" customHeight="1" thickBot="1" x14ac:dyDescent="0.35">
      <c r="F358" s="33" t="s">
        <v>294</v>
      </c>
      <c r="G358" s="40" t="s">
        <v>356</v>
      </c>
      <c r="H358" s="34">
        <v>1270</v>
      </c>
    </row>
    <row r="359" spans="6:8" ht="15.6" customHeight="1" thickBot="1" x14ac:dyDescent="0.35">
      <c r="F359" s="33" t="s">
        <v>194</v>
      </c>
      <c r="G359" s="39" t="s">
        <v>358</v>
      </c>
      <c r="H359" s="34">
        <v>1259</v>
      </c>
    </row>
    <row r="360" spans="6:8" ht="15.6" customHeight="1" thickBot="1" x14ac:dyDescent="0.35">
      <c r="F360" s="33" t="s">
        <v>194</v>
      </c>
      <c r="G360" s="40" t="s">
        <v>359</v>
      </c>
      <c r="H360" s="34">
        <v>1259</v>
      </c>
    </row>
    <row r="361" spans="6:8" ht="15.6" customHeight="1" thickBot="1" x14ac:dyDescent="0.35">
      <c r="F361" s="33" t="s">
        <v>325</v>
      </c>
      <c r="G361" s="39" t="s">
        <v>364</v>
      </c>
      <c r="H361" s="34">
        <v>1256</v>
      </c>
    </row>
    <row r="362" spans="6:8" ht="15.6" customHeight="1" thickBot="1" x14ac:dyDescent="0.35">
      <c r="F362" s="33" t="s">
        <v>325</v>
      </c>
      <c r="G362" s="40" t="s">
        <v>365</v>
      </c>
      <c r="H362" s="34">
        <v>1256</v>
      </c>
    </row>
    <row r="363" spans="6:8" ht="15.6" customHeight="1" thickBot="1" x14ac:dyDescent="0.35">
      <c r="F363" s="33" t="s">
        <v>331</v>
      </c>
      <c r="G363" s="39" t="s">
        <v>355</v>
      </c>
      <c r="H363" s="34">
        <v>1255</v>
      </c>
    </row>
    <row r="364" spans="6:8" ht="15.6" customHeight="1" thickBot="1" x14ac:dyDescent="0.35">
      <c r="F364" s="33" t="s">
        <v>331</v>
      </c>
      <c r="G364" s="40" t="s">
        <v>356</v>
      </c>
      <c r="H364" s="34">
        <v>1255</v>
      </c>
    </row>
    <row r="365" spans="6:8" ht="15.6" customHeight="1" thickBot="1" x14ac:dyDescent="0.35">
      <c r="F365" s="33" t="s">
        <v>139</v>
      </c>
      <c r="G365" s="39" t="s">
        <v>358</v>
      </c>
      <c r="H365" s="34">
        <v>1247</v>
      </c>
    </row>
    <row r="366" spans="6:8" ht="15.6" customHeight="1" thickBot="1" x14ac:dyDescent="0.35">
      <c r="F366" s="33" t="s">
        <v>139</v>
      </c>
      <c r="G366" s="40" t="s">
        <v>359</v>
      </c>
      <c r="H366" s="34">
        <v>1247</v>
      </c>
    </row>
    <row r="367" spans="6:8" ht="15.6" customHeight="1" thickBot="1" x14ac:dyDescent="0.35">
      <c r="F367" s="33" t="s">
        <v>243</v>
      </c>
      <c r="G367" s="39" t="s">
        <v>64</v>
      </c>
      <c r="H367" s="34">
        <v>1235</v>
      </c>
    </row>
    <row r="368" spans="6:8" ht="15.6" customHeight="1" thickBot="1" x14ac:dyDescent="0.35">
      <c r="F368" s="33" t="s">
        <v>172</v>
      </c>
      <c r="G368" s="39" t="s">
        <v>360</v>
      </c>
      <c r="H368" s="34">
        <v>1233</v>
      </c>
    </row>
    <row r="369" spans="6:8" ht="15.6" customHeight="1" thickBot="1" x14ac:dyDescent="0.35">
      <c r="F369" s="33" t="s">
        <v>172</v>
      </c>
      <c r="G369" s="40" t="s">
        <v>361</v>
      </c>
      <c r="H369" s="34">
        <v>1233</v>
      </c>
    </row>
    <row r="370" spans="6:8" ht="15.6" customHeight="1" thickBot="1" x14ac:dyDescent="0.35">
      <c r="F370" s="33" t="s">
        <v>253</v>
      </c>
      <c r="G370" s="39" t="s">
        <v>355</v>
      </c>
      <c r="H370" s="34">
        <v>1217</v>
      </c>
    </row>
    <row r="371" spans="6:8" ht="15.6" customHeight="1" thickBot="1" x14ac:dyDescent="0.35">
      <c r="F371" s="33" t="s">
        <v>126</v>
      </c>
      <c r="G371" s="39" t="s">
        <v>362</v>
      </c>
      <c r="H371" s="34">
        <v>1217</v>
      </c>
    </row>
    <row r="372" spans="6:8" ht="15.6" customHeight="1" thickBot="1" x14ac:dyDescent="0.35">
      <c r="F372" s="33" t="s">
        <v>253</v>
      </c>
      <c r="G372" s="40" t="s">
        <v>356</v>
      </c>
      <c r="H372" s="34">
        <v>1217</v>
      </c>
    </row>
    <row r="373" spans="6:8" ht="15.6" customHeight="1" thickBot="1" x14ac:dyDescent="0.35">
      <c r="F373" s="33" t="s">
        <v>126</v>
      </c>
      <c r="G373" s="40" t="s">
        <v>371</v>
      </c>
      <c r="H373" s="34">
        <v>1217</v>
      </c>
    </row>
    <row r="374" spans="6:8" ht="15.6" customHeight="1" thickBot="1" x14ac:dyDescent="0.35">
      <c r="F374" s="33" t="s">
        <v>30</v>
      </c>
      <c r="G374" s="39" t="s">
        <v>355</v>
      </c>
      <c r="H374" s="34">
        <v>1213</v>
      </c>
    </row>
    <row r="375" spans="6:8" ht="15.6" customHeight="1" thickBot="1" x14ac:dyDescent="0.35">
      <c r="F375" s="33" t="s">
        <v>30</v>
      </c>
      <c r="G375" s="40" t="s">
        <v>356</v>
      </c>
      <c r="H375" s="34">
        <v>1213</v>
      </c>
    </row>
    <row r="376" spans="6:8" ht="15.6" customHeight="1" thickBot="1" x14ac:dyDescent="0.35">
      <c r="F376" s="33" t="s">
        <v>144</v>
      </c>
      <c r="G376" s="39" t="s">
        <v>367</v>
      </c>
      <c r="H376" s="34">
        <v>1206</v>
      </c>
    </row>
    <row r="377" spans="6:8" ht="15.6" customHeight="1" thickBot="1" x14ac:dyDescent="0.35">
      <c r="F377" s="33" t="s">
        <v>144</v>
      </c>
      <c r="G377" s="40" t="s">
        <v>368</v>
      </c>
      <c r="H377" s="34">
        <v>1206</v>
      </c>
    </row>
    <row r="378" spans="6:8" ht="15.6" customHeight="1" thickBot="1" x14ac:dyDescent="0.35">
      <c r="F378" s="33" t="s">
        <v>320</v>
      </c>
      <c r="G378" s="39" t="s">
        <v>364</v>
      </c>
      <c r="H378" s="34">
        <v>1202</v>
      </c>
    </row>
    <row r="379" spans="6:8" ht="15.6" customHeight="1" thickBot="1" x14ac:dyDescent="0.35">
      <c r="F379" s="33" t="s">
        <v>320</v>
      </c>
      <c r="G379" s="40" t="s">
        <v>365</v>
      </c>
      <c r="H379" s="34">
        <v>1202</v>
      </c>
    </row>
    <row r="380" spans="6:8" ht="15.6" customHeight="1" thickBot="1" x14ac:dyDescent="0.35">
      <c r="F380" s="33" t="s">
        <v>286</v>
      </c>
      <c r="G380" s="39" t="s">
        <v>367</v>
      </c>
      <c r="H380" s="34">
        <v>1199</v>
      </c>
    </row>
    <row r="381" spans="6:8" ht="15.6" customHeight="1" thickBot="1" x14ac:dyDescent="0.35">
      <c r="F381" s="33" t="s">
        <v>286</v>
      </c>
      <c r="G381" s="40" t="s">
        <v>368</v>
      </c>
      <c r="H381" s="34">
        <v>1199</v>
      </c>
    </row>
    <row r="382" spans="6:8" ht="15.6" customHeight="1" thickBot="1" x14ac:dyDescent="0.35">
      <c r="F382" s="33" t="s">
        <v>289</v>
      </c>
      <c r="G382" s="39" t="s">
        <v>64</v>
      </c>
      <c r="H382" s="34">
        <v>1194</v>
      </c>
    </row>
    <row r="383" spans="6:8" ht="15.6" customHeight="1" thickBot="1" x14ac:dyDescent="0.35">
      <c r="F383" s="33" t="s">
        <v>155</v>
      </c>
      <c r="G383" s="39" t="s">
        <v>369</v>
      </c>
      <c r="H383" s="34">
        <v>1186</v>
      </c>
    </row>
    <row r="384" spans="6:8" ht="15.6" customHeight="1" thickBot="1" x14ac:dyDescent="0.35">
      <c r="F384" s="33" t="s">
        <v>260</v>
      </c>
      <c r="G384" s="39" t="s">
        <v>369</v>
      </c>
      <c r="H384" s="34">
        <v>1186</v>
      </c>
    </row>
    <row r="385" spans="6:8" ht="15.6" customHeight="1" thickBot="1" x14ac:dyDescent="0.35">
      <c r="F385" s="33" t="s">
        <v>155</v>
      </c>
      <c r="G385" s="40" t="s">
        <v>370</v>
      </c>
      <c r="H385" s="34">
        <v>1186</v>
      </c>
    </row>
    <row r="386" spans="6:8" ht="15.6" customHeight="1" thickBot="1" x14ac:dyDescent="0.35">
      <c r="F386" s="33" t="s">
        <v>260</v>
      </c>
      <c r="G386" s="40" t="s">
        <v>370</v>
      </c>
      <c r="H386" s="34">
        <v>1186</v>
      </c>
    </row>
    <row r="387" spans="6:8" ht="15.6" customHeight="1" thickBot="1" x14ac:dyDescent="0.35">
      <c r="F387" s="33" t="s">
        <v>128</v>
      </c>
      <c r="G387" s="39" t="s">
        <v>358</v>
      </c>
      <c r="H387" s="34">
        <v>1185</v>
      </c>
    </row>
    <row r="388" spans="6:8" ht="15.6" customHeight="1" thickBot="1" x14ac:dyDescent="0.35">
      <c r="F388" s="33" t="s">
        <v>128</v>
      </c>
      <c r="G388" s="40" t="s">
        <v>359</v>
      </c>
      <c r="H388" s="34">
        <v>1185</v>
      </c>
    </row>
    <row r="389" spans="6:8" ht="15.6" customHeight="1" thickBot="1" x14ac:dyDescent="0.35">
      <c r="F389" s="33" t="s">
        <v>292</v>
      </c>
      <c r="G389" s="39" t="s">
        <v>364</v>
      </c>
      <c r="H389" s="34">
        <v>1173</v>
      </c>
    </row>
    <row r="390" spans="6:8" ht="15.6" customHeight="1" thickBot="1" x14ac:dyDescent="0.35">
      <c r="F390" s="33" t="s">
        <v>292</v>
      </c>
      <c r="G390" s="40" t="s">
        <v>365</v>
      </c>
      <c r="H390" s="34">
        <v>1173</v>
      </c>
    </row>
    <row r="391" spans="6:8" ht="15.6" customHeight="1" thickBot="1" x14ac:dyDescent="0.35">
      <c r="F391" s="33" t="s">
        <v>165</v>
      </c>
      <c r="G391" s="39" t="s">
        <v>362</v>
      </c>
      <c r="H391" s="34">
        <v>1168</v>
      </c>
    </row>
    <row r="392" spans="6:8" ht="15.6" customHeight="1" thickBot="1" x14ac:dyDescent="0.35">
      <c r="F392" s="33" t="s">
        <v>165</v>
      </c>
      <c r="G392" s="40" t="s">
        <v>363</v>
      </c>
      <c r="H392" s="34">
        <v>1168</v>
      </c>
    </row>
    <row r="393" spans="6:8" ht="15.6" customHeight="1" thickBot="1" x14ac:dyDescent="0.35">
      <c r="F393" s="33" t="s">
        <v>78</v>
      </c>
      <c r="G393" s="39" t="s">
        <v>64</v>
      </c>
      <c r="H393" s="34">
        <v>1125</v>
      </c>
    </row>
    <row r="394" spans="6:8" ht="15.6" customHeight="1" thickBot="1" x14ac:dyDescent="0.35">
      <c r="F394" s="33" t="s">
        <v>291</v>
      </c>
      <c r="G394" s="39" t="s">
        <v>369</v>
      </c>
      <c r="H394" s="34">
        <v>1108</v>
      </c>
    </row>
    <row r="395" spans="6:8" ht="15.6" customHeight="1" thickBot="1" x14ac:dyDescent="0.35">
      <c r="F395" s="33" t="s">
        <v>291</v>
      </c>
      <c r="G395" s="40" t="s">
        <v>370</v>
      </c>
      <c r="H395" s="34">
        <v>1108</v>
      </c>
    </row>
    <row r="396" spans="6:8" ht="15.6" customHeight="1" thickBot="1" x14ac:dyDescent="0.35">
      <c r="F396" s="33" t="s">
        <v>38</v>
      </c>
      <c r="G396" s="39" t="s">
        <v>358</v>
      </c>
      <c r="H396" s="34">
        <v>1095</v>
      </c>
    </row>
    <row r="397" spans="6:8" ht="15.6" customHeight="1" thickBot="1" x14ac:dyDescent="0.35">
      <c r="F397" s="33" t="s">
        <v>38</v>
      </c>
      <c r="G397" s="40" t="s">
        <v>359</v>
      </c>
      <c r="H397" s="34">
        <v>1095</v>
      </c>
    </row>
    <row r="398" spans="6:8" ht="15.6" customHeight="1" thickBot="1" x14ac:dyDescent="0.35">
      <c r="F398" s="33" t="s">
        <v>175</v>
      </c>
      <c r="G398" s="39" t="s">
        <v>362</v>
      </c>
      <c r="H398" s="34">
        <v>1092</v>
      </c>
    </row>
    <row r="399" spans="6:8" ht="15.6" customHeight="1" thickBot="1" x14ac:dyDescent="0.35">
      <c r="F399" s="33" t="s">
        <v>175</v>
      </c>
      <c r="G399" s="40" t="s">
        <v>371</v>
      </c>
      <c r="H399" s="34">
        <v>1092</v>
      </c>
    </row>
    <row r="400" spans="6:8" ht="15.6" customHeight="1" thickBot="1" x14ac:dyDescent="0.35">
      <c r="F400" s="33" t="s">
        <v>176</v>
      </c>
      <c r="G400" s="39" t="s">
        <v>364</v>
      </c>
      <c r="H400" s="34">
        <v>1091</v>
      </c>
    </row>
    <row r="401" spans="6:8" ht="15.6" customHeight="1" thickBot="1" x14ac:dyDescent="0.35">
      <c r="F401" s="33" t="s">
        <v>176</v>
      </c>
      <c r="G401" s="40" t="s">
        <v>365</v>
      </c>
      <c r="H401" s="34">
        <v>1091</v>
      </c>
    </row>
    <row r="402" spans="6:8" ht="15.6" customHeight="1" thickBot="1" x14ac:dyDescent="0.35">
      <c r="F402" s="33" t="s">
        <v>231</v>
      </c>
      <c r="G402" s="39" t="s">
        <v>366</v>
      </c>
      <c r="H402" s="34">
        <v>1078</v>
      </c>
    </row>
    <row r="403" spans="6:8" ht="15.6" customHeight="1" thickBot="1" x14ac:dyDescent="0.35">
      <c r="F403" s="33" t="s">
        <v>231</v>
      </c>
      <c r="G403" s="40" t="s">
        <v>362</v>
      </c>
      <c r="H403" s="34">
        <v>1078</v>
      </c>
    </row>
    <row r="404" spans="6:8" ht="15.6" customHeight="1" thickBot="1" x14ac:dyDescent="0.35">
      <c r="F404" s="33" t="s">
        <v>137</v>
      </c>
      <c r="G404" s="39" t="s">
        <v>358</v>
      </c>
      <c r="H404" s="34">
        <v>1062</v>
      </c>
    </row>
    <row r="405" spans="6:8" ht="15.6" customHeight="1" thickBot="1" x14ac:dyDescent="0.35">
      <c r="F405" s="33" t="s">
        <v>137</v>
      </c>
      <c r="G405" s="40" t="s">
        <v>359</v>
      </c>
      <c r="H405" s="34">
        <v>1062</v>
      </c>
    </row>
    <row r="406" spans="6:8" ht="15.6" customHeight="1" thickBot="1" x14ac:dyDescent="0.35">
      <c r="F406" s="33" t="s">
        <v>313</v>
      </c>
      <c r="G406" s="39" t="s">
        <v>64</v>
      </c>
      <c r="H406" s="34">
        <v>1054</v>
      </c>
    </row>
    <row r="407" spans="6:8" ht="15.6" customHeight="1" thickBot="1" x14ac:dyDescent="0.35">
      <c r="F407" s="33" t="s">
        <v>300</v>
      </c>
      <c r="G407" s="39" t="s">
        <v>357</v>
      </c>
      <c r="H407" s="34">
        <v>1049</v>
      </c>
    </row>
    <row r="408" spans="6:8" ht="15.6" customHeight="1" thickBot="1" x14ac:dyDescent="0.35">
      <c r="F408" s="33" t="s">
        <v>300</v>
      </c>
      <c r="G408" s="40" t="s">
        <v>32</v>
      </c>
      <c r="H408" s="34">
        <v>1049</v>
      </c>
    </row>
    <row r="409" spans="6:8" ht="15.6" customHeight="1" thickBot="1" x14ac:dyDescent="0.35">
      <c r="F409" s="33" t="s">
        <v>150</v>
      </c>
      <c r="G409" s="39" t="s">
        <v>360</v>
      </c>
      <c r="H409" s="34">
        <v>1037</v>
      </c>
    </row>
    <row r="410" spans="6:8" ht="15.6" customHeight="1" thickBot="1" x14ac:dyDescent="0.35">
      <c r="F410" s="33" t="s">
        <v>150</v>
      </c>
      <c r="G410" s="40" t="s">
        <v>361</v>
      </c>
      <c r="H410" s="34">
        <v>1037</v>
      </c>
    </row>
    <row r="411" spans="6:8" ht="15.6" customHeight="1" thickBot="1" x14ac:dyDescent="0.35">
      <c r="F411" s="33" t="s">
        <v>122</v>
      </c>
      <c r="G411" s="39" t="s">
        <v>366</v>
      </c>
      <c r="H411" s="34">
        <v>1030</v>
      </c>
    </row>
    <row r="412" spans="6:8" ht="15.6" customHeight="1" thickBot="1" x14ac:dyDescent="0.35">
      <c r="F412" s="33" t="s">
        <v>122</v>
      </c>
      <c r="G412" s="40" t="s">
        <v>362</v>
      </c>
      <c r="H412" s="34">
        <v>1030</v>
      </c>
    </row>
    <row r="413" spans="6:8" ht="15.6" customHeight="1" thickBot="1" x14ac:dyDescent="0.35">
      <c r="F413" s="33" t="s">
        <v>227</v>
      </c>
      <c r="G413" s="39" t="s">
        <v>357</v>
      </c>
      <c r="H413" s="34">
        <v>1028</v>
      </c>
    </row>
    <row r="414" spans="6:8" ht="15.6" customHeight="1" thickBot="1" x14ac:dyDescent="0.35">
      <c r="F414" s="33" t="s">
        <v>227</v>
      </c>
      <c r="G414" s="40" t="s">
        <v>32</v>
      </c>
      <c r="H414" s="34">
        <v>1028</v>
      </c>
    </row>
    <row r="415" spans="6:8" ht="15.6" customHeight="1" thickBot="1" x14ac:dyDescent="0.35">
      <c r="F415" s="33" t="s">
        <v>136</v>
      </c>
      <c r="G415" s="39" t="s">
        <v>32</v>
      </c>
      <c r="H415" s="34">
        <v>1015</v>
      </c>
    </row>
    <row r="416" spans="6:8" ht="15.6" customHeight="1" thickBot="1" x14ac:dyDescent="0.35">
      <c r="F416" s="33" t="s">
        <v>273</v>
      </c>
      <c r="G416" s="39" t="s">
        <v>360</v>
      </c>
      <c r="H416" s="34">
        <v>1015</v>
      </c>
    </row>
    <row r="417" spans="6:8" ht="15.6" customHeight="1" thickBot="1" x14ac:dyDescent="0.35">
      <c r="F417" s="33" t="s">
        <v>273</v>
      </c>
      <c r="G417" s="40" t="s">
        <v>361</v>
      </c>
      <c r="H417" s="34">
        <v>1015</v>
      </c>
    </row>
    <row r="418" spans="6:8" ht="15.6" customHeight="1" thickBot="1" x14ac:dyDescent="0.35">
      <c r="F418" s="33" t="s">
        <v>242</v>
      </c>
      <c r="G418" s="39" t="s">
        <v>362</v>
      </c>
      <c r="H418" s="34">
        <v>1013</v>
      </c>
    </row>
    <row r="419" spans="6:8" ht="15.6" customHeight="1" thickBot="1" x14ac:dyDescent="0.35">
      <c r="F419" s="33" t="s">
        <v>242</v>
      </c>
      <c r="G419" s="40" t="s">
        <v>371</v>
      </c>
      <c r="H419" s="34">
        <v>1013</v>
      </c>
    </row>
    <row r="420" spans="6:8" ht="15.6" customHeight="1" thickBot="1" x14ac:dyDescent="0.35">
      <c r="F420" s="33" t="s">
        <v>133</v>
      </c>
      <c r="G420" s="39" t="s">
        <v>369</v>
      </c>
      <c r="H420" s="34">
        <v>1003</v>
      </c>
    </row>
    <row r="421" spans="6:8" ht="15.6" customHeight="1" thickBot="1" x14ac:dyDescent="0.35">
      <c r="F421" s="33" t="s">
        <v>133</v>
      </c>
      <c r="G421" s="40" t="s">
        <v>370</v>
      </c>
      <c r="H421" s="34">
        <v>1003</v>
      </c>
    </row>
    <row r="422" spans="6:8" ht="15.6" customHeight="1" thickBot="1" x14ac:dyDescent="0.35">
      <c r="F422" s="33" t="s">
        <v>74</v>
      </c>
      <c r="G422" s="39" t="s">
        <v>364</v>
      </c>
      <c r="H422" s="34">
        <v>999</v>
      </c>
    </row>
    <row r="423" spans="6:8" ht="15.6" customHeight="1" thickBot="1" x14ac:dyDescent="0.35">
      <c r="F423" s="33" t="s">
        <v>98</v>
      </c>
      <c r="G423" s="39" t="s">
        <v>355</v>
      </c>
      <c r="H423" s="34">
        <v>999</v>
      </c>
    </row>
    <row r="424" spans="6:8" ht="15.6" customHeight="1" thickBot="1" x14ac:dyDescent="0.35">
      <c r="F424" s="33" t="s">
        <v>74</v>
      </c>
      <c r="G424" s="40" t="s">
        <v>365</v>
      </c>
      <c r="H424" s="34">
        <v>999</v>
      </c>
    </row>
    <row r="425" spans="6:8" ht="15.6" customHeight="1" thickBot="1" x14ac:dyDescent="0.35">
      <c r="F425" s="33" t="s">
        <v>98</v>
      </c>
      <c r="G425" s="40" t="s">
        <v>356</v>
      </c>
      <c r="H425" s="34">
        <v>999</v>
      </c>
    </row>
    <row r="426" spans="6:8" ht="15.6" customHeight="1" thickBot="1" x14ac:dyDescent="0.35">
      <c r="F426" s="33" t="s">
        <v>304</v>
      </c>
      <c r="G426" s="39" t="s">
        <v>64</v>
      </c>
      <c r="H426" s="34">
        <v>994</v>
      </c>
    </row>
    <row r="427" spans="6:8" ht="15.6" customHeight="1" thickBot="1" x14ac:dyDescent="0.35">
      <c r="F427" s="33" t="s">
        <v>196</v>
      </c>
      <c r="G427" s="39" t="s">
        <v>357</v>
      </c>
      <c r="H427" s="34">
        <v>992</v>
      </c>
    </row>
    <row r="428" spans="6:8" ht="15.6" customHeight="1" thickBot="1" x14ac:dyDescent="0.35">
      <c r="F428" s="33" t="s">
        <v>196</v>
      </c>
      <c r="G428" s="40" t="s">
        <v>32</v>
      </c>
      <c r="H428" s="34">
        <v>992</v>
      </c>
    </row>
    <row r="429" spans="6:8" ht="15.6" customHeight="1" thickBot="1" x14ac:dyDescent="0.35">
      <c r="F429" s="33" t="s">
        <v>134</v>
      </c>
      <c r="G429" s="39" t="s">
        <v>364</v>
      </c>
      <c r="H429" s="34">
        <v>986</v>
      </c>
    </row>
    <row r="430" spans="6:8" ht="15.6" customHeight="1" thickBot="1" x14ac:dyDescent="0.35">
      <c r="F430" s="33" t="s">
        <v>134</v>
      </c>
      <c r="G430" s="40" t="s">
        <v>365</v>
      </c>
      <c r="H430" s="34">
        <v>986</v>
      </c>
    </row>
    <row r="431" spans="6:8" ht="15.6" customHeight="1" thickBot="1" x14ac:dyDescent="0.35">
      <c r="F431" s="33" t="s">
        <v>301</v>
      </c>
      <c r="G431" s="39" t="s">
        <v>366</v>
      </c>
      <c r="H431" s="34">
        <v>984</v>
      </c>
    </row>
    <row r="432" spans="6:8" ht="15.6" customHeight="1" thickBot="1" x14ac:dyDescent="0.35">
      <c r="F432" s="33" t="s">
        <v>301</v>
      </c>
      <c r="G432" s="40" t="s">
        <v>362</v>
      </c>
      <c r="H432" s="34">
        <v>984</v>
      </c>
    </row>
    <row r="433" spans="6:8" ht="15.6" customHeight="1" thickBot="1" x14ac:dyDescent="0.35">
      <c r="F433" s="33" t="s">
        <v>101</v>
      </c>
      <c r="G433" s="39" t="s">
        <v>367</v>
      </c>
      <c r="H433" s="34">
        <v>974</v>
      </c>
    </row>
    <row r="434" spans="6:8" ht="15.6" customHeight="1" thickBot="1" x14ac:dyDescent="0.35">
      <c r="F434" s="33" t="s">
        <v>101</v>
      </c>
      <c r="G434" s="40" t="s">
        <v>368</v>
      </c>
      <c r="H434" s="34">
        <v>974</v>
      </c>
    </row>
    <row r="435" spans="6:8" ht="15.6" customHeight="1" thickBot="1" x14ac:dyDescent="0.35">
      <c r="F435" s="33" t="s">
        <v>308</v>
      </c>
      <c r="G435" s="39" t="s">
        <v>357</v>
      </c>
      <c r="H435" s="34">
        <v>961</v>
      </c>
    </row>
    <row r="436" spans="6:8" ht="15.6" customHeight="1" thickBot="1" x14ac:dyDescent="0.35">
      <c r="F436" s="33" t="s">
        <v>308</v>
      </c>
      <c r="G436" s="40" t="s">
        <v>32</v>
      </c>
      <c r="H436" s="34">
        <v>961</v>
      </c>
    </row>
    <row r="437" spans="6:8" ht="15.6" customHeight="1" thickBot="1" x14ac:dyDescent="0.35">
      <c r="F437" s="36" t="s">
        <v>267</v>
      </c>
      <c r="G437" s="41" t="s">
        <v>364</v>
      </c>
      <c r="H437" s="37">
        <v>934</v>
      </c>
    </row>
    <row r="438" spans="6:8" ht="15.6" customHeight="1" thickBot="1" x14ac:dyDescent="0.35">
      <c r="F438" s="36" t="s">
        <v>267</v>
      </c>
      <c r="G438" s="42" t="s">
        <v>365</v>
      </c>
      <c r="H438" s="37">
        <v>934</v>
      </c>
    </row>
    <row r="439" spans="6:8" ht="15.6" customHeight="1" thickBot="1" x14ac:dyDescent="0.35">
      <c r="F439" s="33" t="s">
        <v>334</v>
      </c>
      <c r="G439" s="39" t="s">
        <v>366</v>
      </c>
      <c r="H439" s="34">
        <v>907</v>
      </c>
    </row>
    <row r="440" spans="6:8" ht="15.6" customHeight="1" thickBot="1" x14ac:dyDescent="0.35">
      <c r="F440" s="33" t="s">
        <v>334</v>
      </c>
      <c r="G440" s="40" t="s">
        <v>362</v>
      </c>
      <c r="H440" s="34">
        <v>907</v>
      </c>
    </row>
    <row r="441" spans="6:8" ht="15.6" customHeight="1" thickBot="1" x14ac:dyDescent="0.35">
      <c r="F441" s="33" t="s">
        <v>222</v>
      </c>
      <c r="G441" s="39" t="s">
        <v>360</v>
      </c>
      <c r="H441" s="34">
        <v>906</v>
      </c>
    </row>
    <row r="442" spans="6:8" ht="15.6" customHeight="1" thickBot="1" x14ac:dyDescent="0.35">
      <c r="F442" s="33" t="s">
        <v>222</v>
      </c>
      <c r="G442" s="40" t="s">
        <v>361</v>
      </c>
      <c r="H442" s="34">
        <v>906</v>
      </c>
    </row>
    <row r="443" spans="6:8" ht="15.6" customHeight="1" thickBot="1" x14ac:dyDescent="0.35">
      <c r="F443" s="33" t="s">
        <v>42</v>
      </c>
      <c r="G443" s="39" t="s">
        <v>362</v>
      </c>
      <c r="H443" s="34">
        <v>892</v>
      </c>
    </row>
    <row r="444" spans="6:8" ht="15.6" customHeight="1" thickBot="1" x14ac:dyDescent="0.35">
      <c r="F444" s="33" t="s">
        <v>42</v>
      </c>
      <c r="G444" s="40" t="s">
        <v>363</v>
      </c>
      <c r="H444" s="34">
        <v>892</v>
      </c>
    </row>
    <row r="445" spans="6:8" ht="15.6" customHeight="1" thickBot="1" x14ac:dyDescent="0.35">
      <c r="F445" s="33" t="s">
        <v>238</v>
      </c>
      <c r="G445" s="39" t="s">
        <v>369</v>
      </c>
      <c r="H445" s="34">
        <v>891</v>
      </c>
    </row>
    <row r="446" spans="6:8" ht="15.6" customHeight="1" thickBot="1" x14ac:dyDescent="0.35">
      <c r="F446" s="33" t="s">
        <v>238</v>
      </c>
      <c r="G446" s="40" t="s">
        <v>370</v>
      </c>
      <c r="H446" s="34">
        <v>891</v>
      </c>
    </row>
    <row r="447" spans="6:8" ht="15.6" customHeight="1" thickBot="1" x14ac:dyDescent="0.35">
      <c r="F447" s="33" t="s">
        <v>187</v>
      </c>
      <c r="G447" s="39" t="s">
        <v>64</v>
      </c>
      <c r="H447" s="34">
        <v>890</v>
      </c>
    </row>
    <row r="448" spans="6:8" ht="15.6" customHeight="1" thickBot="1" x14ac:dyDescent="0.35">
      <c r="F448" s="33" t="s">
        <v>86</v>
      </c>
      <c r="G448" s="39" t="s">
        <v>367</v>
      </c>
      <c r="H448" s="34">
        <v>888</v>
      </c>
    </row>
    <row r="449" spans="6:8" ht="15.6" customHeight="1" thickBot="1" x14ac:dyDescent="0.35">
      <c r="F449" s="33" t="s">
        <v>86</v>
      </c>
      <c r="G449" s="40" t="s">
        <v>368</v>
      </c>
      <c r="H449" s="34">
        <v>888</v>
      </c>
    </row>
    <row r="450" spans="6:8" ht="15.6" customHeight="1" thickBot="1" x14ac:dyDescent="0.35">
      <c r="F450" s="33" t="s">
        <v>106</v>
      </c>
      <c r="G450" s="39" t="s">
        <v>362</v>
      </c>
      <c r="H450" s="34">
        <v>885</v>
      </c>
    </row>
    <row r="451" spans="6:8" ht="15.6" customHeight="1" thickBot="1" x14ac:dyDescent="0.35">
      <c r="F451" s="33" t="s">
        <v>106</v>
      </c>
      <c r="G451" s="40" t="s">
        <v>363</v>
      </c>
      <c r="H451" s="34">
        <v>885</v>
      </c>
    </row>
    <row r="452" spans="6:8" ht="15.6" customHeight="1" thickBot="1" x14ac:dyDescent="0.35">
      <c r="F452" s="33" t="s">
        <v>213</v>
      </c>
      <c r="G452" s="39" t="s">
        <v>357</v>
      </c>
      <c r="H452" s="34">
        <v>883</v>
      </c>
    </row>
    <row r="453" spans="6:8" ht="15.6" customHeight="1" thickBot="1" x14ac:dyDescent="0.35">
      <c r="F453" s="33" t="s">
        <v>213</v>
      </c>
      <c r="G453" s="40" t="s">
        <v>32</v>
      </c>
      <c r="H453" s="34">
        <v>883</v>
      </c>
    </row>
    <row r="454" spans="6:8" ht="15.6" customHeight="1" thickBot="1" x14ac:dyDescent="0.35">
      <c r="F454" s="33" t="s">
        <v>111</v>
      </c>
      <c r="G454" s="39" t="s">
        <v>32</v>
      </c>
      <c r="H454" s="34">
        <v>871</v>
      </c>
    </row>
    <row r="455" spans="6:8" ht="15.6" customHeight="1" thickBot="1" x14ac:dyDescent="0.35">
      <c r="F455" s="33" t="s">
        <v>171</v>
      </c>
      <c r="G455" s="39" t="s">
        <v>366</v>
      </c>
      <c r="H455" s="34">
        <v>869</v>
      </c>
    </row>
    <row r="456" spans="6:8" ht="15.6" customHeight="1" thickBot="1" x14ac:dyDescent="0.35">
      <c r="F456" s="33" t="s">
        <v>147</v>
      </c>
      <c r="G456" s="39" t="s">
        <v>32</v>
      </c>
      <c r="H456" s="34">
        <v>869</v>
      </c>
    </row>
    <row r="457" spans="6:8" ht="15.6" customHeight="1" thickBot="1" x14ac:dyDescent="0.35">
      <c r="F457" s="33" t="s">
        <v>171</v>
      </c>
      <c r="G457" s="40" t="s">
        <v>362</v>
      </c>
      <c r="H457" s="34">
        <v>869</v>
      </c>
    </row>
    <row r="458" spans="6:8" ht="15.6" customHeight="1" thickBot="1" x14ac:dyDescent="0.35">
      <c r="F458" s="33" t="s">
        <v>77</v>
      </c>
      <c r="G458" s="39" t="s">
        <v>362</v>
      </c>
      <c r="H458" s="34">
        <v>856</v>
      </c>
    </row>
    <row r="459" spans="6:8" ht="15.6" customHeight="1" thickBot="1" x14ac:dyDescent="0.35">
      <c r="F459" s="33" t="s">
        <v>77</v>
      </c>
      <c r="G459" s="40" t="s">
        <v>371</v>
      </c>
      <c r="H459" s="34">
        <v>856</v>
      </c>
    </row>
    <row r="460" spans="6:8" ht="15.6" customHeight="1" thickBot="1" x14ac:dyDescent="0.35">
      <c r="F460" s="33" t="s">
        <v>272</v>
      </c>
      <c r="G460" s="39" t="s">
        <v>357</v>
      </c>
      <c r="H460" s="34">
        <v>852</v>
      </c>
    </row>
    <row r="461" spans="6:8" ht="15.6" customHeight="1" thickBot="1" x14ac:dyDescent="0.35">
      <c r="F461" s="33" t="s">
        <v>272</v>
      </c>
      <c r="G461" s="40" t="s">
        <v>32</v>
      </c>
      <c r="H461" s="34">
        <v>852</v>
      </c>
    </row>
    <row r="462" spans="6:8" ht="15.6" customHeight="1" thickBot="1" x14ac:dyDescent="0.35">
      <c r="F462" s="33" t="s">
        <v>309</v>
      </c>
      <c r="G462" s="39" t="s">
        <v>369</v>
      </c>
      <c r="H462" s="34">
        <v>848</v>
      </c>
    </row>
    <row r="463" spans="6:8" ht="15.6" customHeight="1" thickBot="1" x14ac:dyDescent="0.35">
      <c r="F463" s="33" t="s">
        <v>309</v>
      </c>
      <c r="G463" s="40" t="s">
        <v>370</v>
      </c>
      <c r="H463" s="34">
        <v>848</v>
      </c>
    </row>
    <row r="464" spans="6:8" ht="15.6" customHeight="1" thickBot="1" x14ac:dyDescent="0.35">
      <c r="F464" s="33" t="s">
        <v>199</v>
      </c>
      <c r="G464" s="39" t="s">
        <v>355</v>
      </c>
      <c r="H464" s="34">
        <v>826</v>
      </c>
    </row>
    <row r="465" spans="6:8" ht="15.6" customHeight="1" thickBot="1" x14ac:dyDescent="0.35">
      <c r="F465" s="33" t="s">
        <v>199</v>
      </c>
      <c r="G465" s="40" t="s">
        <v>356</v>
      </c>
      <c r="H465" s="34">
        <v>826</v>
      </c>
    </row>
    <row r="466" spans="6:8" ht="15.6" customHeight="1" thickBot="1" x14ac:dyDescent="0.35">
      <c r="F466" s="33" t="s">
        <v>205</v>
      </c>
      <c r="G466" s="39" t="s">
        <v>364</v>
      </c>
      <c r="H466" s="34">
        <v>820</v>
      </c>
    </row>
    <row r="467" spans="6:8" ht="15.6" customHeight="1" thickBot="1" x14ac:dyDescent="0.35">
      <c r="F467" s="33" t="s">
        <v>205</v>
      </c>
      <c r="G467" s="40" t="s">
        <v>365</v>
      </c>
      <c r="H467" s="34">
        <v>820</v>
      </c>
    </row>
    <row r="468" spans="6:8" ht="15.6" customHeight="1" thickBot="1" x14ac:dyDescent="0.35">
      <c r="F468" s="33" t="s">
        <v>186</v>
      </c>
      <c r="G468" s="39" t="s">
        <v>357</v>
      </c>
      <c r="H468" s="34">
        <v>819</v>
      </c>
    </row>
    <row r="469" spans="6:8" ht="15.6" customHeight="1" thickBot="1" x14ac:dyDescent="0.35">
      <c r="F469" s="33" t="s">
        <v>186</v>
      </c>
      <c r="G469" s="40" t="s">
        <v>32</v>
      </c>
      <c r="H469" s="34">
        <v>819</v>
      </c>
    </row>
    <row r="470" spans="6:8" ht="15.6" customHeight="1" thickBot="1" x14ac:dyDescent="0.35">
      <c r="F470" s="33" t="s">
        <v>151</v>
      </c>
      <c r="G470" s="39" t="s">
        <v>355</v>
      </c>
      <c r="H470" s="34">
        <v>815</v>
      </c>
    </row>
    <row r="471" spans="6:8" ht="15.6" customHeight="1" thickBot="1" x14ac:dyDescent="0.35">
      <c r="F471" s="33" t="s">
        <v>328</v>
      </c>
      <c r="G471" s="39" t="s">
        <v>364</v>
      </c>
      <c r="H471" s="34">
        <v>815</v>
      </c>
    </row>
    <row r="472" spans="6:8" ht="15.6" customHeight="1" thickBot="1" x14ac:dyDescent="0.35">
      <c r="F472" s="33" t="s">
        <v>151</v>
      </c>
      <c r="G472" s="40" t="s">
        <v>356</v>
      </c>
      <c r="H472" s="34">
        <v>815</v>
      </c>
    </row>
    <row r="473" spans="6:8" ht="15.6" customHeight="1" thickBot="1" x14ac:dyDescent="0.35">
      <c r="F473" s="33" t="s">
        <v>328</v>
      </c>
      <c r="G473" s="40" t="s">
        <v>365</v>
      </c>
      <c r="H473" s="34">
        <v>815</v>
      </c>
    </row>
    <row r="474" spans="6:8" ht="15.6" customHeight="1" thickBot="1" x14ac:dyDescent="0.35">
      <c r="F474" s="33" t="s">
        <v>290</v>
      </c>
      <c r="G474" s="39" t="s">
        <v>362</v>
      </c>
      <c r="H474" s="34">
        <v>814</v>
      </c>
    </row>
    <row r="475" spans="6:8" ht="15.6" customHeight="1" thickBot="1" x14ac:dyDescent="0.35">
      <c r="F475" s="33" t="s">
        <v>290</v>
      </c>
      <c r="G475" s="40" t="s">
        <v>371</v>
      </c>
      <c r="H475" s="34">
        <v>814</v>
      </c>
    </row>
    <row r="476" spans="6:8" ht="15.6" customHeight="1" thickBot="1" x14ac:dyDescent="0.35">
      <c r="F476" s="33" t="s">
        <v>120</v>
      </c>
      <c r="G476" s="39" t="s">
        <v>358</v>
      </c>
      <c r="H476" s="34">
        <v>783</v>
      </c>
    </row>
    <row r="477" spans="6:8" ht="15.6" customHeight="1" thickBot="1" x14ac:dyDescent="0.35">
      <c r="F477" s="33" t="s">
        <v>120</v>
      </c>
      <c r="G477" s="40" t="s">
        <v>359</v>
      </c>
      <c r="H477" s="34">
        <v>783</v>
      </c>
    </row>
    <row r="478" spans="6:8" ht="15.6" customHeight="1" thickBot="1" x14ac:dyDescent="0.35">
      <c r="F478" s="33" t="s">
        <v>130</v>
      </c>
      <c r="G478" s="39" t="s">
        <v>366</v>
      </c>
      <c r="H478" s="34">
        <v>773</v>
      </c>
    </row>
    <row r="479" spans="6:8" ht="15.6" customHeight="1" thickBot="1" x14ac:dyDescent="0.35">
      <c r="F479" s="33" t="s">
        <v>130</v>
      </c>
      <c r="G479" s="40" t="s">
        <v>362</v>
      </c>
      <c r="H479" s="34">
        <v>773</v>
      </c>
    </row>
    <row r="480" spans="6:8" ht="15.6" customHeight="1" thickBot="1" x14ac:dyDescent="0.35">
      <c r="F480" s="33" t="s">
        <v>283</v>
      </c>
      <c r="G480" s="39" t="s">
        <v>64</v>
      </c>
      <c r="H480" s="34">
        <v>758</v>
      </c>
    </row>
    <row r="481" spans="6:8" ht="15.6" customHeight="1" thickBot="1" x14ac:dyDescent="0.35">
      <c r="F481" s="33" t="s">
        <v>31</v>
      </c>
      <c r="G481" s="39" t="s">
        <v>32</v>
      </c>
      <c r="H481" s="34">
        <v>753</v>
      </c>
    </row>
    <row r="482" spans="6:8" ht="15.6" customHeight="1" thickBot="1" x14ac:dyDescent="0.35">
      <c r="F482" s="33" t="s">
        <v>99</v>
      </c>
      <c r="G482" s="39" t="s">
        <v>32</v>
      </c>
      <c r="H482" s="34">
        <v>747</v>
      </c>
    </row>
    <row r="483" spans="6:8" ht="15.6" customHeight="1" thickBot="1" x14ac:dyDescent="0.35">
      <c r="F483" s="33" t="s">
        <v>315</v>
      </c>
      <c r="G483" s="39" t="s">
        <v>362</v>
      </c>
      <c r="H483" s="34">
        <v>744</v>
      </c>
    </row>
    <row r="484" spans="6:8" ht="15.6" customHeight="1" thickBot="1" x14ac:dyDescent="0.35">
      <c r="F484" s="33" t="s">
        <v>315</v>
      </c>
      <c r="G484" s="40" t="s">
        <v>363</v>
      </c>
      <c r="H484" s="34">
        <v>744</v>
      </c>
    </row>
    <row r="485" spans="6:8" ht="15.6" customHeight="1" thickBot="1" x14ac:dyDescent="0.35">
      <c r="F485" s="33" t="s">
        <v>261</v>
      </c>
      <c r="G485" s="39" t="s">
        <v>367</v>
      </c>
      <c r="H485" s="34">
        <v>727</v>
      </c>
    </row>
    <row r="486" spans="6:8" ht="15.6" customHeight="1" thickBot="1" x14ac:dyDescent="0.35">
      <c r="F486" s="33" t="s">
        <v>261</v>
      </c>
      <c r="G486" s="40" t="s">
        <v>368</v>
      </c>
      <c r="H486" s="34">
        <v>727</v>
      </c>
    </row>
    <row r="487" spans="6:8" ht="15.6" customHeight="1" thickBot="1" x14ac:dyDescent="0.35">
      <c r="F487" s="33" t="s">
        <v>81</v>
      </c>
      <c r="G487" s="39" t="s">
        <v>362</v>
      </c>
      <c r="H487" s="34">
        <v>725</v>
      </c>
    </row>
    <row r="488" spans="6:8" ht="15.6" customHeight="1" thickBot="1" x14ac:dyDescent="0.35">
      <c r="F488" s="33" t="s">
        <v>81</v>
      </c>
      <c r="G488" s="40" t="s">
        <v>371</v>
      </c>
      <c r="H488" s="34">
        <v>725</v>
      </c>
    </row>
    <row r="489" spans="6:8" ht="15.6" customHeight="1" thickBot="1" x14ac:dyDescent="0.35">
      <c r="F489" s="33" t="s">
        <v>288</v>
      </c>
      <c r="G489" s="39" t="s">
        <v>362</v>
      </c>
      <c r="H489" s="34">
        <v>709</v>
      </c>
    </row>
    <row r="490" spans="6:8" ht="15.6" customHeight="1" thickBot="1" x14ac:dyDescent="0.35">
      <c r="F490" s="33" t="s">
        <v>288</v>
      </c>
      <c r="G490" s="40" t="s">
        <v>371</v>
      </c>
      <c r="H490" s="34">
        <v>709</v>
      </c>
    </row>
    <row r="491" spans="6:8" ht="15.6" customHeight="1" thickBot="1" x14ac:dyDescent="0.35">
      <c r="F491" s="33" t="s">
        <v>327</v>
      </c>
      <c r="G491" s="39" t="s">
        <v>364</v>
      </c>
      <c r="H491" s="34">
        <v>703</v>
      </c>
    </row>
    <row r="492" spans="6:8" ht="15.6" customHeight="1" thickBot="1" x14ac:dyDescent="0.35">
      <c r="F492" s="33" t="s">
        <v>327</v>
      </c>
      <c r="G492" s="40" t="s">
        <v>365</v>
      </c>
      <c r="H492" s="34">
        <v>703</v>
      </c>
    </row>
    <row r="493" spans="6:8" ht="15.6" customHeight="1" thickBot="1" x14ac:dyDescent="0.35">
      <c r="F493" s="33" t="s">
        <v>214</v>
      </c>
      <c r="G493" s="39" t="s">
        <v>360</v>
      </c>
      <c r="H493" s="34">
        <v>694</v>
      </c>
    </row>
    <row r="494" spans="6:8" ht="15.6" customHeight="1" thickBot="1" x14ac:dyDescent="0.35">
      <c r="F494" s="33" t="s">
        <v>214</v>
      </c>
      <c r="G494" s="40" t="s">
        <v>361</v>
      </c>
      <c r="H494" s="34">
        <v>694</v>
      </c>
    </row>
    <row r="495" spans="6:8" ht="15.6" customHeight="1" thickBot="1" x14ac:dyDescent="0.35">
      <c r="F495" s="33" t="s">
        <v>198</v>
      </c>
      <c r="G495" s="39" t="s">
        <v>364</v>
      </c>
      <c r="H495" s="34">
        <v>677</v>
      </c>
    </row>
    <row r="496" spans="6:8" ht="15.6" customHeight="1" thickBot="1" x14ac:dyDescent="0.35">
      <c r="F496" s="33" t="s">
        <v>198</v>
      </c>
      <c r="G496" s="40" t="s">
        <v>365</v>
      </c>
      <c r="H496" s="34">
        <v>677</v>
      </c>
    </row>
    <row r="497" spans="6:8" ht="15.6" customHeight="1" thickBot="1" x14ac:dyDescent="0.35">
      <c r="F497" s="33" t="s">
        <v>67</v>
      </c>
      <c r="G497" s="39" t="s">
        <v>362</v>
      </c>
      <c r="H497" s="34">
        <v>662</v>
      </c>
    </row>
    <row r="498" spans="6:8" ht="15.6" customHeight="1" thickBot="1" x14ac:dyDescent="0.35">
      <c r="F498" s="33" t="s">
        <v>67</v>
      </c>
      <c r="G498" s="40" t="s">
        <v>371</v>
      </c>
      <c r="H498" s="34">
        <v>662</v>
      </c>
    </row>
    <row r="499" spans="6:8" ht="15.6" customHeight="1" thickBot="1" x14ac:dyDescent="0.35">
      <c r="F499" s="33" t="s">
        <v>97</v>
      </c>
      <c r="G499" s="39" t="s">
        <v>362</v>
      </c>
      <c r="H499" s="34">
        <v>659</v>
      </c>
    </row>
    <row r="500" spans="6:8" ht="15.6" customHeight="1" thickBot="1" x14ac:dyDescent="0.35">
      <c r="F500" s="33" t="s">
        <v>97</v>
      </c>
      <c r="G500" s="40" t="s">
        <v>371</v>
      </c>
      <c r="H500" s="34">
        <v>659</v>
      </c>
    </row>
    <row r="501" spans="6:8" ht="15.6" customHeight="1" thickBot="1" x14ac:dyDescent="0.35">
      <c r="F501" s="33" t="s">
        <v>71</v>
      </c>
      <c r="G501" s="39" t="s">
        <v>64</v>
      </c>
      <c r="H501" s="34">
        <v>655</v>
      </c>
    </row>
    <row r="502" spans="6:8" ht="15.6" customHeight="1" thickBot="1" x14ac:dyDescent="0.35">
      <c r="F502" s="33" t="s">
        <v>319</v>
      </c>
      <c r="G502" s="39" t="s">
        <v>367</v>
      </c>
      <c r="H502" s="34">
        <v>652</v>
      </c>
    </row>
    <row r="503" spans="6:8" ht="15.6" customHeight="1" thickBot="1" x14ac:dyDescent="0.35">
      <c r="F503" s="33" t="s">
        <v>319</v>
      </c>
      <c r="G503" s="40" t="s">
        <v>368</v>
      </c>
      <c r="H503" s="34">
        <v>652</v>
      </c>
    </row>
    <row r="504" spans="6:8" ht="15.6" customHeight="1" thickBot="1" x14ac:dyDescent="0.35">
      <c r="F504" s="33" t="s">
        <v>193</v>
      </c>
      <c r="G504" s="39" t="s">
        <v>357</v>
      </c>
      <c r="H504" s="34">
        <v>648</v>
      </c>
    </row>
    <row r="505" spans="6:8" ht="15.6" customHeight="1" thickBot="1" x14ac:dyDescent="0.35">
      <c r="F505" s="33" t="s">
        <v>193</v>
      </c>
      <c r="G505" s="40" t="s">
        <v>32</v>
      </c>
      <c r="H505" s="34">
        <v>648</v>
      </c>
    </row>
    <row r="506" spans="6:8" ht="15.6" customHeight="1" thickBot="1" x14ac:dyDescent="0.35">
      <c r="F506" s="33" t="s">
        <v>220</v>
      </c>
      <c r="G506" s="39" t="s">
        <v>362</v>
      </c>
      <c r="H506" s="34">
        <v>637</v>
      </c>
    </row>
    <row r="507" spans="6:8" ht="15.6" customHeight="1" thickBot="1" x14ac:dyDescent="0.35">
      <c r="F507" s="33" t="s">
        <v>220</v>
      </c>
      <c r="G507" s="40" t="s">
        <v>371</v>
      </c>
      <c r="H507" s="34">
        <v>637</v>
      </c>
    </row>
    <row r="508" spans="6:8" ht="15.6" customHeight="1" thickBot="1" x14ac:dyDescent="0.35">
      <c r="F508" s="33" t="s">
        <v>47</v>
      </c>
      <c r="G508" s="39" t="s">
        <v>360</v>
      </c>
      <c r="H508" s="34">
        <v>617</v>
      </c>
    </row>
    <row r="509" spans="6:8" ht="15.6" customHeight="1" thickBot="1" x14ac:dyDescent="0.35">
      <c r="F509" s="33" t="s">
        <v>47</v>
      </c>
      <c r="G509" s="40" t="s">
        <v>361</v>
      </c>
      <c r="H509" s="34">
        <v>617</v>
      </c>
    </row>
    <row r="510" spans="6:8" ht="15.6" customHeight="1" thickBot="1" x14ac:dyDescent="0.35">
      <c r="F510" s="33" t="s">
        <v>265</v>
      </c>
      <c r="G510" s="39" t="s">
        <v>358</v>
      </c>
      <c r="H510" s="34">
        <v>616</v>
      </c>
    </row>
    <row r="511" spans="6:8" ht="15.6" customHeight="1" thickBot="1" x14ac:dyDescent="0.35">
      <c r="F511" s="33" t="s">
        <v>265</v>
      </c>
      <c r="G511" s="40" t="s">
        <v>359</v>
      </c>
      <c r="H511" s="34">
        <v>616</v>
      </c>
    </row>
    <row r="512" spans="6:8" ht="15.6" customHeight="1" thickBot="1" x14ac:dyDescent="0.35">
      <c r="F512" s="33" t="s">
        <v>310</v>
      </c>
      <c r="G512" s="39" t="s">
        <v>364</v>
      </c>
      <c r="H512" s="34">
        <v>611</v>
      </c>
    </row>
    <row r="513" spans="6:8" ht="15.6" customHeight="1" thickBot="1" x14ac:dyDescent="0.35">
      <c r="F513" s="33" t="s">
        <v>310</v>
      </c>
      <c r="G513" s="40" t="s">
        <v>365</v>
      </c>
      <c r="H513" s="34">
        <v>611</v>
      </c>
    </row>
    <row r="514" spans="6:8" ht="15.6" customHeight="1" thickBot="1" x14ac:dyDescent="0.35">
      <c r="F514" s="33" t="s">
        <v>306</v>
      </c>
      <c r="G514" s="39" t="s">
        <v>358</v>
      </c>
      <c r="H514" s="34">
        <v>606</v>
      </c>
    </row>
    <row r="515" spans="6:8" ht="15.6" customHeight="1" thickBot="1" x14ac:dyDescent="0.35">
      <c r="F515" s="33" t="s">
        <v>306</v>
      </c>
      <c r="G515" s="40" t="s">
        <v>359</v>
      </c>
      <c r="H515" s="34">
        <v>606</v>
      </c>
    </row>
    <row r="516" spans="6:8" ht="15.6" customHeight="1" thickBot="1" x14ac:dyDescent="0.35">
      <c r="F516" s="33" t="s">
        <v>89</v>
      </c>
      <c r="G516" s="39" t="s">
        <v>360</v>
      </c>
      <c r="H516" s="34">
        <v>594</v>
      </c>
    </row>
    <row r="517" spans="6:8" ht="15.6" customHeight="1" thickBot="1" x14ac:dyDescent="0.35">
      <c r="F517" s="33" t="s">
        <v>89</v>
      </c>
      <c r="G517" s="40" t="s">
        <v>361</v>
      </c>
      <c r="H517" s="34">
        <v>594</v>
      </c>
    </row>
    <row r="518" spans="6:8" ht="15.6" customHeight="1" thickBot="1" x14ac:dyDescent="0.35">
      <c r="F518" s="33" t="s">
        <v>135</v>
      </c>
      <c r="G518" s="39" t="s">
        <v>364</v>
      </c>
      <c r="H518" s="34">
        <v>584</v>
      </c>
    </row>
    <row r="519" spans="6:8" ht="15.6" customHeight="1" thickBot="1" x14ac:dyDescent="0.35">
      <c r="F519" s="33" t="s">
        <v>135</v>
      </c>
      <c r="G519" s="40" t="s">
        <v>365</v>
      </c>
      <c r="H519" s="34">
        <v>584</v>
      </c>
    </row>
    <row r="520" spans="6:8" ht="15.6" customHeight="1" thickBot="1" x14ac:dyDescent="0.35">
      <c r="F520" s="33" t="s">
        <v>117</v>
      </c>
      <c r="G520" s="39" t="s">
        <v>362</v>
      </c>
      <c r="H520" s="34">
        <v>577</v>
      </c>
    </row>
    <row r="521" spans="6:8" ht="15.6" customHeight="1" thickBot="1" x14ac:dyDescent="0.35">
      <c r="F521" s="33" t="s">
        <v>117</v>
      </c>
      <c r="G521" s="40" t="s">
        <v>363</v>
      </c>
      <c r="H521" s="34">
        <v>577</v>
      </c>
    </row>
    <row r="522" spans="6:8" ht="15.6" customHeight="1" thickBot="1" x14ac:dyDescent="0.35">
      <c r="F522" s="33" t="s">
        <v>217</v>
      </c>
      <c r="G522" s="39" t="s">
        <v>367</v>
      </c>
      <c r="H522" s="34">
        <v>573</v>
      </c>
    </row>
    <row r="523" spans="6:8" ht="15.6" customHeight="1" thickBot="1" x14ac:dyDescent="0.35">
      <c r="F523" s="33" t="s">
        <v>217</v>
      </c>
      <c r="G523" s="40" t="s">
        <v>368</v>
      </c>
      <c r="H523" s="34">
        <v>573</v>
      </c>
    </row>
    <row r="524" spans="6:8" ht="15.6" customHeight="1" thickBot="1" x14ac:dyDescent="0.35">
      <c r="F524" s="33" t="s">
        <v>280</v>
      </c>
      <c r="G524" s="39" t="s">
        <v>357</v>
      </c>
      <c r="H524" s="34">
        <v>550</v>
      </c>
    </row>
    <row r="525" spans="6:8" ht="15.6" customHeight="1" thickBot="1" x14ac:dyDescent="0.35">
      <c r="F525" s="33" t="s">
        <v>280</v>
      </c>
      <c r="G525" s="40" t="s">
        <v>32</v>
      </c>
      <c r="H525" s="34">
        <v>550</v>
      </c>
    </row>
    <row r="526" spans="6:8" ht="15.6" customHeight="1" thickBot="1" x14ac:dyDescent="0.35">
      <c r="F526" s="33" t="s">
        <v>245</v>
      </c>
      <c r="G526" s="39" t="s">
        <v>362</v>
      </c>
      <c r="H526" s="34">
        <v>541</v>
      </c>
    </row>
    <row r="527" spans="6:8" ht="15.6" customHeight="1" thickBot="1" x14ac:dyDescent="0.35">
      <c r="F527" s="33" t="s">
        <v>245</v>
      </c>
      <c r="G527" s="40" t="s">
        <v>363</v>
      </c>
      <c r="H527" s="34">
        <v>541</v>
      </c>
    </row>
    <row r="528" spans="6:8" ht="15.6" customHeight="1" thickBot="1" x14ac:dyDescent="0.35">
      <c r="F528" s="33" t="s">
        <v>60</v>
      </c>
      <c r="G528" s="39" t="s">
        <v>367</v>
      </c>
      <c r="H528" s="34">
        <v>515</v>
      </c>
    </row>
    <row r="529" spans="6:8" ht="15.6" customHeight="1" thickBot="1" x14ac:dyDescent="0.35">
      <c r="F529" s="33" t="s">
        <v>60</v>
      </c>
      <c r="G529" s="40" t="s">
        <v>368</v>
      </c>
      <c r="H529" s="34">
        <v>515</v>
      </c>
    </row>
    <row r="530" spans="6:8" ht="15.6" customHeight="1" thickBot="1" x14ac:dyDescent="0.35">
      <c r="F530" s="33" t="s">
        <v>232</v>
      </c>
      <c r="G530" s="39" t="s">
        <v>64</v>
      </c>
      <c r="H530" s="34">
        <v>513</v>
      </c>
    </row>
    <row r="531" spans="6:8" ht="15.6" customHeight="1" thickBot="1" x14ac:dyDescent="0.35">
      <c r="F531" s="33" t="s">
        <v>285</v>
      </c>
      <c r="G531" s="39" t="s">
        <v>64</v>
      </c>
      <c r="H531" s="34">
        <v>507</v>
      </c>
    </row>
    <row r="532" spans="6:8" ht="15.6" customHeight="1" thickBot="1" x14ac:dyDescent="0.35">
      <c r="F532" s="33" t="s">
        <v>72</v>
      </c>
      <c r="G532" s="39" t="s">
        <v>360</v>
      </c>
      <c r="H532" s="34">
        <v>490</v>
      </c>
    </row>
    <row r="533" spans="6:8" ht="15.6" customHeight="1" thickBot="1" x14ac:dyDescent="0.35">
      <c r="F533" s="33" t="s">
        <v>72</v>
      </c>
      <c r="G533" s="40" t="s">
        <v>361</v>
      </c>
      <c r="H533" s="34">
        <v>490</v>
      </c>
    </row>
    <row r="534" spans="6:8" ht="15.6" customHeight="1" thickBot="1" x14ac:dyDescent="0.35">
      <c r="F534" s="33" t="s">
        <v>223</v>
      </c>
      <c r="G534" s="39" t="s">
        <v>369</v>
      </c>
      <c r="H534" s="34">
        <v>465</v>
      </c>
    </row>
    <row r="535" spans="6:8" ht="15.6" customHeight="1" thickBot="1" x14ac:dyDescent="0.35">
      <c r="F535" s="33" t="s">
        <v>223</v>
      </c>
      <c r="G535" s="40" t="s">
        <v>370</v>
      </c>
      <c r="H535" s="34">
        <v>465</v>
      </c>
    </row>
    <row r="536" spans="6:8" ht="15.6" customHeight="1" thickBot="1" x14ac:dyDescent="0.35">
      <c r="F536" s="36" t="s">
        <v>323</v>
      </c>
      <c r="G536" s="41" t="s">
        <v>362</v>
      </c>
      <c r="H536" s="37">
        <v>458</v>
      </c>
    </row>
    <row r="537" spans="6:8" ht="15.6" customHeight="1" thickBot="1" x14ac:dyDescent="0.35">
      <c r="F537" s="36" t="s">
        <v>323</v>
      </c>
      <c r="G537" s="42" t="s">
        <v>363</v>
      </c>
      <c r="H537" s="37">
        <v>458</v>
      </c>
    </row>
    <row r="538" spans="6:8" ht="15.6" customHeight="1" thickBot="1" x14ac:dyDescent="0.35">
      <c r="F538" s="33" t="s">
        <v>258</v>
      </c>
      <c r="G538" s="39" t="s">
        <v>64</v>
      </c>
      <c r="H538" s="34">
        <v>442</v>
      </c>
    </row>
    <row r="539" spans="6:8" ht="15.6" customHeight="1" thickBot="1" x14ac:dyDescent="0.35">
      <c r="F539" s="33" t="s">
        <v>210</v>
      </c>
      <c r="G539" s="39" t="s">
        <v>355</v>
      </c>
      <c r="H539" s="34">
        <v>416</v>
      </c>
    </row>
    <row r="540" spans="6:8" ht="15.6" customHeight="1" thickBot="1" x14ac:dyDescent="0.35">
      <c r="F540" s="33" t="s">
        <v>210</v>
      </c>
      <c r="G540" s="40" t="s">
        <v>356</v>
      </c>
      <c r="H540" s="34">
        <v>416</v>
      </c>
    </row>
    <row r="541" spans="6:8" ht="15.6" customHeight="1" thickBot="1" x14ac:dyDescent="0.35">
      <c r="F541" s="33" t="s">
        <v>279</v>
      </c>
      <c r="G541" s="39" t="s">
        <v>366</v>
      </c>
      <c r="H541" s="34">
        <v>410</v>
      </c>
    </row>
    <row r="542" spans="6:8" ht="15.6" customHeight="1" thickBot="1" x14ac:dyDescent="0.35">
      <c r="F542" s="33" t="s">
        <v>279</v>
      </c>
      <c r="G542" s="40" t="s">
        <v>362</v>
      </c>
      <c r="H542" s="34">
        <v>410</v>
      </c>
    </row>
    <row r="543" spans="6:8" ht="15.6" customHeight="1" thickBot="1" x14ac:dyDescent="0.35">
      <c r="F543" s="33" t="s">
        <v>259</v>
      </c>
      <c r="G543" s="39" t="s">
        <v>360</v>
      </c>
      <c r="H543" s="34">
        <v>405</v>
      </c>
    </row>
    <row r="544" spans="6:8" ht="15.6" customHeight="1" thickBot="1" x14ac:dyDescent="0.35">
      <c r="F544" s="33" t="s">
        <v>259</v>
      </c>
      <c r="G544" s="40" t="s">
        <v>361</v>
      </c>
      <c r="H544" s="34">
        <v>405</v>
      </c>
    </row>
    <row r="545" spans="6:8" ht="15.6" customHeight="1" thickBot="1" x14ac:dyDescent="0.35">
      <c r="F545" s="33" t="s">
        <v>229</v>
      </c>
      <c r="G545" s="39" t="s">
        <v>367</v>
      </c>
      <c r="H545" s="34">
        <v>401</v>
      </c>
    </row>
    <row r="546" spans="6:8" ht="15.6" customHeight="1" thickBot="1" x14ac:dyDescent="0.35">
      <c r="F546" s="33" t="s">
        <v>229</v>
      </c>
      <c r="G546" s="40" t="s">
        <v>368</v>
      </c>
      <c r="H546" s="34">
        <v>401</v>
      </c>
    </row>
    <row r="547" spans="6:8" ht="15.6" customHeight="1" thickBot="1" x14ac:dyDescent="0.35">
      <c r="F547" s="33" t="s">
        <v>255</v>
      </c>
      <c r="G547" s="39" t="s">
        <v>364</v>
      </c>
      <c r="H547" s="34">
        <v>389</v>
      </c>
    </row>
    <row r="548" spans="6:8" ht="15.6" customHeight="1" thickBot="1" x14ac:dyDescent="0.35">
      <c r="F548" s="33" t="s">
        <v>255</v>
      </c>
      <c r="G548" s="40" t="s">
        <v>365</v>
      </c>
      <c r="H548" s="34">
        <v>389</v>
      </c>
    </row>
    <row r="549" spans="6:8" ht="15.6" customHeight="1" thickBot="1" x14ac:dyDescent="0.35">
      <c r="F549" s="33" t="s">
        <v>166</v>
      </c>
      <c r="G549" s="39" t="s">
        <v>358</v>
      </c>
      <c r="H549" s="34">
        <v>383</v>
      </c>
    </row>
    <row r="550" spans="6:8" ht="15.6" customHeight="1" thickBot="1" x14ac:dyDescent="0.35">
      <c r="F550" s="33" t="s">
        <v>166</v>
      </c>
      <c r="G550" s="40" t="s">
        <v>359</v>
      </c>
      <c r="H550" s="34">
        <v>383</v>
      </c>
    </row>
    <row r="551" spans="6:8" ht="15.6" customHeight="1" thickBot="1" x14ac:dyDescent="0.35">
      <c r="F551" s="33" t="s">
        <v>216</v>
      </c>
      <c r="G551" s="39" t="s">
        <v>367</v>
      </c>
      <c r="H551" s="34">
        <v>371</v>
      </c>
    </row>
    <row r="552" spans="6:8" ht="15.6" customHeight="1" thickBot="1" x14ac:dyDescent="0.35">
      <c r="F552" s="33" t="s">
        <v>216</v>
      </c>
      <c r="G552" s="40" t="s">
        <v>368</v>
      </c>
      <c r="H552" s="34">
        <v>371</v>
      </c>
    </row>
    <row r="553" spans="6:8" ht="15.6" customHeight="1" thickBot="1" x14ac:dyDescent="0.35">
      <c r="F553" s="33" t="s">
        <v>154</v>
      </c>
      <c r="G553" s="39" t="s">
        <v>32</v>
      </c>
      <c r="H553" s="34">
        <v>338</v>
      </c>
    </row>
    <row r="554" spans="6:8" ht="15.6" customHeight="1" thickBot="1" x14ac:dyDescent="0.35">
      <c r="F554" s="33" t="s">
        <v>33</v>
      </c>
      <c r="G554" s="39" t="s">
        <v>364</v>
      </c>
      <c r="H554" s="34">
        <v>336</v>
      </c>
    </row>
    <row r="555" spans="6:8" ht="15.6" customHeight="1" thickBot="1" x14ac:dyDescent="0.35">
      <c r="F555" s="33" t="s">
        <v>33</v>
      </c>
      <c r="G555" s="40" t="s">
        <v>365</v>
      </c>
      <c r="H555" s="34">
        <v>336</v>
      </c>
    </row>
    <row r="556" spans="6:8" ht="15.6" customHeight="1" thickBot="1" x14ac:dyDescent="0.35">
      <c r="F556" s="33" t="s">
        <v>314</v>
      </c>
      <c r="G556" s="39" t="s">
        <v>364</v>
      </c>
      <c r="H556" s="34">
        <v>334</v>
      </c>
    </row>
    <row r="557" spans="6:8" ht="15.6" customHeight="1" thickBot="1" x14ac:dyDescent="0.35">
      <c r="F557" s="33" t="s">
        <v>314</v>
      </c>
      <c r="G557" s="40" t="s">
        <v>365</v>
      </c>
      <c r="H557" s="34">
        <v>334</v>
      </c>
    </row>
    <row r="558" spans="6:8" ht="15.6" customHeight="1" thickBot="1" x14ac:dyDescent="0.35">
      <c r="F558" s="33" t="s">
        <v>143</v>
      </c>
      <c r="G558" s="39" t="s">
        <v>362</v>
      </c>
      <c r="H558" s="34">
        <v>328</v>
      </c>
    </row>
    <row r="559" spans="6:8" ht="15.6" customHeight="1" thickBot="1" x14ac:dyDescent="0.35">
      <c r="F559" s="33" t="s">
        <v>143</v>
      </c>
      <c r="G559" s="40" t="s">
        <v>363</v>
      </c>
      <c r="H559" s="34">
        <v>328</v>
      </c>
    </row>
    <row r="560" spans="6:8" ht="15.6" customHeight="1" thickBot="1" x14ac:dyDescent="0.35">
      <c r="F560" s="33" t="s">
        <v>287</v>
      </c>
      <c r="G560" s="39" t="s">
        <v>364</v>
      </c>
      <c r="H560" s="34">
        <v>321</v>
      </c>
    </row>
    <row r="561" spans="6:8" ht="15.6" customHeight="1" thickBot="1" x14ac:dyDescent="0.35">
      <c r="F561" s="33" t="s">
        <v>129</v>
      </c>
      <c r="G561" s="39" t="s">
        <v>366</v>
      </c>
      <c r="H561" s="34">
        <v>321</v>
      </c>
    </row>
    <row r="562" spans="6:8" ht="15.6" customHeight="1" thickBot="1" x14ac:dyDescent="0.35">
      <c r="F562" s="33" t="s">
        <v>287</v>
      </c>
      <c r="G562" s="40" t="s">
        <v>365</v>
      </c>
      <c r="H562" s="34">
        <v>321</v>
      </c>
    </row>
    <row r="563" spans="6:8" ht="15.6" customHeight="1" thickBot="1" x14ac:dyDescent="0.35">
      <c r="F563" s="33" t="s">
        <v>129</v>
      </c>
      <c r="G563" s="40" t="s">
        <v>362</v>
      </c>
      <c r="H563" s="34">
        <v>321</v>
      </c>
    </row>
    <row r="564" spans="6:8" ht="15.6" customHeight="1" thickBot="1" x14ac:dyDescent="0.35">
      <c r="F564" s="36" t="s">
        <v>163</v>
      </c>
      <c r="G564" s="41" t="s">
        <v>362</v>
      </c>
      <c r="H564" s="37">
        <v>320</v>
      </c>
    </row>
    <row r="565" spans="6:8" ht="15.6" customHeight="1" thickBot="1" x14ac:dyDescent="0.35">
      <c r="F565" s="36" t="s">
        <v>163</v>
      </c>
      <c r="G565" s="42" t="s">
        <v>371</v>
      </c>
      <c r="H565" s="37">
        <v>320</v>
      </c>
    </row>
    <row r="566" spans="6:8" ht="15.6" customHeight="1" thickBot="1" x14ac:dyDescent="0.35">
      <c r="F566" s="33" t="s">
        <v>293</v>
      </c>
      <c r="G566" s="39" t="s">
        <v>362</v>
      </c>
      <c r="H566" s="34">
        <v>313</v>
      </c>
    </row>
    <row r="567" spans="6:8" ht="15.6" customHeight="1" thickBot="1" x14ac:dyDescent="0.35">
      <c r="F567" s="33" t="s">
        <v>293</v>
      </c>
      <c r="G567" s="40" t="s">
        <v>371</v>
      </c>
      <c r="H567" s="34">
        <v>313</v>
      </c>
    </row>
    <row r="568" spans="6:8" ht="15.6" customHeight="1" thickBot="1" x14ac:dyDescent="0.35">
      <c r="F568" s="33" t="s">
        <v>247</v>
      </c>
      <c r="G568" s="39" t="s">
        <v>64</v>
      </c>
      <c r="H568" s="34">
        <v>301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CF94-EAA9-4A1B-988C-A820DB0DCD0A}">
  <dimension ref="A3:E22"/>
  <sheetViews>
    <sheetView workbookViewId="0">
      <selection activeCell="E7" sqref="E7:E11"/>
    </sheetView>
  </sheetViews>
  <sheetFormatPr defaultRowHeight="14.4" x14ac:dyDescent="0.3"/>
  <cols>
    <col min="1" max="1" width="18.109375" bestFit="1" customWidth="1"/>
    <col min="2" max="2" width="16.44140625" bestFit="1" customWidth="1"/>
    <col min="5" max="5" width="45.33203125" customWidth="1"/>
  </cols>
  <sheetData>
    <row r="3" spans="1:5" x14ac:dyDescent="0.3">
      <c r="A3" t="s">
        <v>372</v>
      </c>
      <c r="B3" t="s">
        <v>373</v>
      </c>
    </row>
    <row r="4" spans="1:5" x14ac:dyDescent="0.3">
      <c r="A4" s="40" t="s">
        <v>362</v>
      </c>
      <c r="B4">
        <v>80</v>
      </c>
    </row>
    <row r="5" spans="1:5" x14ac:dyDescent="0.3">
      <c r="A5" s="40" t="s">
        <v>32</v>
      </c>
      <c r="B5">
        <v>41</v>
      </c>
    </row>
    <row r="6" spans="1:5" x14ac:dyDescent="0.3">
      <c r="A6" s="40" t="s">
        <v>367</v>
      </c>
      <c r="B6">
        <v>37</v>
      </c>
    </row>
    <row r="7" spans="1:5" x14ac:dyDescent="0.3">
      <c r="A7" s="40" t="s">
        <v>368</v>
      </c>
      <c r="B7">
        <v>37</v>
      </c>
      <c r="E7" s="44" t="s">
        <v>374</v>
      </c>
    </row>
    <row r="8" spans="1:5" x14ac:dyDescent="0.3">
      <c r="A8" s="40" t="s">
        <v>364</v>
      </c>
      <c r="B8">
        <v>34</v>
      </c>
      <c r="E8" s="44" t="s">
        <v>375</v>
      </c>
    </row>
    <row r="9" spans="1:5" x14ac:dyDescent="0.3">
      <c r="A9" s="40" t="s">
        <v>365</v>
      </c>
      <c r="B9">
        <v>34</v>
      </c>
      <c r="E9" s="44" t="s">
        <v>32</v>
      </c>
    </row>
    <row r="10" spans="1:5" x14ac:dyDescent="0.3">
      <c r="A10" s="40" t="s">
        <v>371</v>
      </c>
      <c r="B10">
        <v>32</v>
      </c>
      <c r="E10" s="44" t="s">
        <v>367</v>
      </c>
    </row>
    <row r="11" spans="1:5" x14ac:dyDescent="0.3">
      <c r="A11" s="40" t="s">
        <v>366</v>
      </c>
      <c r="B11">
        <v>29</v>
      </c>
      <c r="E11" s="44" t="s">
        <v>368</v>
      </c>
    </row>
    <row r="12" spans="1:5" x14ac:dyDescent="0.3">
      <c r="A12" s="40" t="s">
        <v>358</v>
      </c>
      <c r="B12">
        <v>28</v>
      </c>
    </row>
    <row r="13" spans="1:5" x14ac:dyDescent="0.3">
      <c r="A13" s="40" t="s">
        <v>359</v>
      </c>
      <c r="B13">
        <v>28</v>
      </c>
    </row>
    <row r="14" spans="1:5" x14ac:dyDescent="0.3">
      <c r="A14" s="40" t="s">
        <v>361</v>
      </c>
      <c r="B14">
        <v>25</v>
      </c>
    </row>
    <row r="15" spans="1:5" x14ac:dyDescent="0.3">
      <c r="A15" s="40" t="s">
        <v>357</v>
      </c>
      <c r="B15">
        <v>25</v>
      </c>
    </row>
    <row r="16" spans="1:5" x14ac:dyDescent="0.3">
      <c r="A16" s="40" t="s">
        <v>360</v>
      </c>
      <c r="B16">
        <v>25</v>
      </c>
    </row>
    <row r="17" spans="1:2" x14ac:dyDescent="0.3">
      <c r="A17" s="40" t="s">
        <v>355</v>
      </c>
      <c r="B17">
        <v>25</v>
      </c>
    </row>
    <row r="18" spans="1:2" x14ac:dyDescent="0.3">
      <c r="A18" s="40" t="s">
        <v>356</v>
      </c>
      <c r="B18">
        <v>25</v>
      </c>
    </row>
    <row r="19" spans="1:2" x14ac:dyDescent="0.3">
      <c r="A19" s="40" t="s">
        <v>363</v>
      </c>
      <c r="B19">
        <v>19</v>
      </c>
    </row>
    <row r="20" spans="1:2" x14ac:dyDescent="0.3">
      <c r="A20" s="40" t="s">
        <v>64</v>
      </c>
      <c r="B20">
        <v>17</v>
      </c>
    </row>
    <row r="21" spans="1:2" x14ac:dyDescent="0.3">
      <c r="A21" s="40" t="s">
        <v>369</v>
      </c>
      <c r="B21">
        <v>13</v>
      </c>
    </row>
    <row r="22" spans="1:2" x14ac:dyDescent="0.3">
      <c r="A22" s="40" t="s">
        <v>370</v>
      </c>
      <c r="B22">
        <v>13</v>
      </c>
    </row>
  </sheetData>
  <conditionalFormatting pivot="1" sqref="B4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B4:B2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80D6-16E5-4A62-B4B9-75C7741C8447}">
  <dimension ref="A3:E24"/>
  <sheetViews>
    <sheetView zoomScale="126" workbookViewId="0">
      <selection activeCell="C24" sqref="C24"/>
    </sheetView>
  </sheetViews>
  <sheetFormatPr defaultRowHeight="14.4" x14ac:dyDescent="0.3"/>
  <cols>
    <col min="1" max="1" width="18.109375" bestFit="1" customWidth="1"/>
    <col min="2" max="2" width="16.6640625" customWidth="1"/>
    <col min="3" max="3" width="32.77734375" customWidth="1"/>
    <col min="5" max="5" width="91.44140625" customWidth="1"/>
  </cols>
  <sheetData>
    <row r="3" spans="1:5" x14ac:dyDescent="0.3">
      <c r="A3" s="43" t="s">
        <v>372</v>
      </c>
      <c r="B3" t="s">
        <v>378</v>
      </c>
    </row>
    <row r="4" spans="1:5" x14ac:dyDescent="0.3">
      <c r="A4" s="40" t="s">
        <v>362</v>
      </c>
      <c r="B4">
        <v>131138</v>
      </c>
    </row>
    <row r="5" spans="1:5" x14ac:dyDescent="0.3">
      <c r="A5" s="40" t="s">
        <v>32</v>
      </c>
      <c r="B5">
        <v>68156</v>
      </c>
    </row>
    <row r="6" spans="1:5" x14ac:dyDescent="0.3">
      <c r="A6" s="40" t="s">
        <v>368</v>
      </c>
      <c r="B6">
        <v>63326</v>
      </c>
    </row>
    <row r="7" spans="1:5" x14ac:dyDescent="0.3">
      <c r="A7" s="40" t="s">
        <v>367</v>
      </c>
      <c r="B7">
        <v>63326</v>
      </c>
    </row>
    <row r="8" spans="1:5" x14ac:dyDescent="0.3">
      <c r="A8" s="40" t="s">
        <v>366</v>
      </c>
      <c r="B8">
        <v>52528</v>
      </c>
      <c r="E8" s="45"/>
    </row>
    <row r="9" spans="1:5" x14ac:dyDescent="0.3">
      <c r="A9" s="40" t="s">
        <v>371</v>
      </c>
      <c r="B9">
        <v>50542</v>
      </c>
    </row>
    <row r="10" spans="1:5" x14ac:dyDescent="0.3">
      <c r="A10" s="40" t="s">
        <v>364</v>
      </c>
      <c r="B10">
        <v>49752</v>
      </c>
    </row>
    <row r="11" spans="1:5" x14ac:dyDescent="0.3">
      <c r="A11" s="40" t="s">
        <v>365</v>
      </c>
      <c r="B11">
        <v>49752</v>
      </c>
    </row>
    <row r="12" spans="1:5" x14ac:dyDescent="0.3">
      <c r="A12" s="40" t="s">
        <v>358</v>
      </c>
      <c r="B12">
        <v>47050</v>
      </c>
    </row>
    <row r="13" spans="1:5" x14ac:dyDescent="0.3">
      <c r="A13" s="40" t="s">
        <v>359</v>
      </c>
      <c r="B13">
        <v>47050</v>
      </c>
    </row>
    <row r="14" spans="1:5" x14ac:dyDescent="0.3">
      <c r="A14" s="40" t="s">
        <v>357</v>
      </c>
      <c r="B14">
        <v>42669</v>
      </c>
    </row>
    <row r="15" spans="1:5" x14ac:dyDescent="0.3">
      <c r="A15" s="40" t="s">
        <v>355</v>
      </c>
      <c r="B15">
        <v>41874</v>
      </c>
    </row>
    <row r="16" spans="1:5" x14ac:dyDescent="0.3">
      <c r="A16" s="40" t="s">
        <v>356</v>
      </c>
      <c r="B16">
        <v>41874</v>
      </c>
    </row>
    <row r="17" spans="1:3" x14ac:dyDescent="0.3">
      <c r="A17" s="40" t="s">
        <v>361</v>
      </c>
      <c r="B17">
        <v>39818</v>
      </c>
    </row>
    <row r="18" spans="1:3" x14ac:dyDescent="0.3">
      <c r="A18" s="40" t="s">
        <v>360</v>
      </c>
      <c r="B18">
        <v>39818</v>
      </c>
    </row>
    <row r="19" spans="1:3" x14ac:dyDescent="0.3">
      <c r="A19" s="40" t="s">
        <v>363</v>
      </c>
      <c r="B19">
        <v>28068</v>
      </c>
    </row>
    <row r="20" spans="1:3" x14ac:dyDescent="0.3">
      <c r="A20" s="40" t="s">
        <v>64</v>
      </c>
      <c r="B20">
        <v>21920</v>
      </c>
    </row>
    <row r="21" spans="1:3" x14ac:dyDescent="0.3">
      <c r="A21" s="40" t="s">
        <v>369</v>
      </c>
      <c r="B21">
        <v>18971</v>
      </c>
    </row>
    <row r="22" spans="1:3" x14ac:dyDescent="0.3">
      <c r="A22" s="40" t="s">
        <v>370</v>
      </c>
      <c r="B22">
        <v>18971</v>
      </c>
    </row>
    <row r="24" spans="1:3" ht="80.400000000000006" customHeight="1" x14ac:dyDescent="0.3">
      <c r="C24" s="46" t="s">
        <v>379</v>
      </c>
    </row>
  </sheetData>
  <conditionalFormatting pivot="1" sqref="B4:B22">
    <cfRule type="colorScale" priority="2">
      <colorScale>
        <cfvo type="min"/>
        <cfvo type="max"/>
        <color rgb="FF7030A0"/>
        <color rgb="FFFFEF9C"/>
      </colorScale>
    </cfRule>
  </conditionalFormatting>
  <conditionalFormatting pivot="1" sqref="B4:B22">
    <cfRule type="colorScale" priority="1">
      <colorScale>
        <cfvo type="min"/>
        <cfvo type="max"/>
        <color theme="8" tint="0.79998168889431442"/>
        <color theme="8" tint="-0.249977111117893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6122-F076-404E-A262-5AFA2F64DCB1}">
  <dimension ref="A3:H14"/>
  <sheetViews>
    <sheetView workbookViewId="0">
      <selection activeCell="D14" sqref="D14"/>
    </sheetView>
  </sheetViews>
  <sheetFormatPr defaultRowHeight="14.4" x14ac:dyDescent="0.3"/>
  <cols>
    <col min="1" max="1" width="25.77734375" bestFit="1" customWidth="1"/>
    <col min="2" max="2" width="15.5546875" bestFit="1" customWidth="1"/>
    <col min="3" max="3" width="8.21875" bestFit="1" customWidth="1"/>
    <col min="4" max="4" width="6.88671875" bestFit="1" customWidth="1"/>
    <col min="5" max="5" width="8.44140625" bestFit="1" customWidth="1"/>
    <col min="6" max="6" width="31.109375" customWidth="1"/>
    <col min="7" max="7" width="12" bestFit="1" customWidth="1"/>
    <col min="8" max="8" width="29.44140625" customWidth="1"/>
  </cols>
  <sheetData>
    <row r="3" spans="1:8" x14ac:dyDescent="0.3">
      <c r="A3" s="43" t="s">
        <v>382</v>
      </c>
      <c r="B3" s="43" t="s">
        <v>380</v>
      </c>
    </row>
    <row r="4" spans="1:8" x14ac:dyDescent="0.3">
      <c r="A4" s="43" t="s">
        <v>372</v>
      </c>
      <c r="B4" t="s">
        <v>22</v>
      </c>
      <c r="C4" t="s">
        <v>18</v>
      </c>
      <c r="D4" t="s">
        <v>40</v>
      </c>
      <c r="E4" t="s">
        <v>13</v>
      </c>
    </row>
    <row r="5" spans="1:8" x14ac:dyDescent="0.3">
      <c r="A5" s="40" t="s">
        <v>34</v>
      </c>
      <c r="B5" s="51">
        <v>0.12589042595917879</v>
      </c>
      <c r="C5" s="51">
        <v>0.10262745926963565</v>
      </c>
      <c r="D5" s="51">
        <v>0.12870165132257488</v>
      </c>
      <c r="E5" s="51">
        <v>0.11881014499581921</v>
      </c>
    </row>
    <row r="6" spans="1:8" x14ac:dyDescent="0.3">
      <c r="A6" s="40" t="s">
        <v>14</v>
      </c>
      <c r="B6" s="51">
        <v>9.3879606627696899E-2</v>
      </c>
      <c r="C6" s="51">
        <v>0.13089820229926677</v>
      </c>
      <c r="D6" s="51">
        <v>0.15288959834365948</v>
      </c>
      <c r="E6" s="51">
        <v>0.15597957455532388</v>
      </c>
    </row>
    <row r="7" spans="1:8" x14ac:dyDescent="0.3">
      <c r="A7" s="40" t="s">
        <v>23</v>
      </c>
      <c r="B7" s="51">
        <v>0.12535692827534972</v>
      </c>
      <c r="C7" s="51">
        <v>0.14827499105978331</v>
      </c>
      <c r="D7" s="51">
        <v>0.12144564622202569</v>
      </c>
      <c r="E7" s="51">
        <v>7.9242643875273147E-2</v>
      </c>
    </row>
    <row r="8" spans="1:8" x14ac:dyDescent="0.3">
      <c r="A8" s="40" t="s">
        <v>27</v>
      </c>
      <c r="B8" s="51">
        <v>0.13262168293640897</v>
      </c>
      <c r="C8" s="51">
        <v>0.14967936592167658</v>
      </c>
      <c r="D8" s="51">
        <v>0.14614995098562578</v>
      </c>
      <c r="E8" s="51">
        <v>0.13163445681906671</v>
      </c>
    </row>
    <row r="10" spans="1:8" s="45" customFormat="1" ht="64.8" customHeight="1" x14ac:dyDescent="0.3">
      <c r="F10" s="52" t="s">
        <v>383</v>
      </c>
      <c r="H10" s="53" t="s">
        <v>385</v>
      </c>
    </row>
    <row r="12" spans="1:8" ht="64.8" customHeight="1" x14ac:dyDescent="0.3">
      <c r="F12" s="53" t="s">
        <v>384</v>
      </c>
      <c r="H12" s="52" t="s">
        <v>386</v>
      </c>
    </row>
    <row r="14" spans="1:8" ht="63" customHeight="1" x14ac:dyDescent="0.3">
      <c r="F14" s="45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Task 4</vt:lpstr>
      <vt:lpstr>Posts</vt:lpstr>
      <vt:lpstr>Engagement Summary</vt:lpstr>
      <vt:lpstr>Campaign metadata</vt:lpstr>
      <vt:lpstr>Hashtag Analysis</vt:lpstr>
      <vt:lpstr>Frequently used hashtags</vt:lpstr>
      <vt:lpstr>Post performance by hashtags</vt:lpstr>
      <vt:lpstr>Content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Suhani Bhardwaj</dc:creator>
  <cp:lastModifiedBy>Suhani Bhardwaj</cp:lastModifiedBy>
  <dcterms:created xsi:type="dcterms:W3CDTF">2026-04-07T14:08:51Z</dcterms:created>
  <dcterms:modified xsi:type="dcterms:W3CDTF">2026-04-08T11:35:14Z</dcterms:modified>
</cp:coreProperties>
</file>