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sktop\apple-social-media-analytics project\"/>
    </mc:Choice>
  </mc:AlternateContent>
  <xr:revisionPtr revIDLastSave="0" documentId="13_ncr:1_{3F8CA8E4-0A43-4CD6-91C8-7A1846860017}" xr6:coauthVersionLast="47" xr6:coauthVersionMax="47" xr10:uidLastSave="{00000000-0000-0000-0000-000000000000}"/>
  <bookViews>
    <workbookView xWindow="-108" yWindow="-108" windowWidth="23256" windowHeight="12456" xr2:uid="{CD2EE41A-34C5-4D69-88E3-176887DD0763}"/>
  </bookViews>
  <sheets>
    <sheet name="Task 3" sheetId="12" r:id="rId1"/>
    <sheet name="Posts" sheetId="1" r:id="rId2"/>
    <sheet name="Engagement Summary" sheetId="2" r:id="rId3"/>
    <sheet name="Campaign metadata" sheetId="3" r:id="rId4"/>
    <sheet name="Platformwise engagement rate" sheetId="10" r:id="rId5"/>
    <sheet name="Platformwise Followers growth " sheetId="7" r:id="rId6"/>
    <sheet name="Ad Spend vs Engagement Rate" sheetId="8" r:id="rId7"/>
  </sheets>
  <definedNames>
    <definedName name="_xlnm._FilterDatabase" localSheetId="1" hidden="1">Posts!$M$1:$M$301</definedName>
  </definedNames>
  <calcPr calcId="191029"/>
  <pivotCaches>
    <pivotCache cacheId="43" r:id="rId8"/>
    <pivotCache cacheId="44" r:id="rId9"/>
    <pivotCache cacheId="45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</calcChain>
</file>

<file path=xl/sharedStrings.xml><?xml version="1.0" encoding="utf-8"?>
<sst xmlns="http://schemas.openxmlformats.org/spreadsheetml/2006/main" count="1784" uniqueCount="378">
  <si>
    <t>A82</t>
  </si>
  <si>
    <t>LinkedIn</t>
  </si>
  <si>
    <t>Video</t>
  </si>
  <si>
    <t>#AppleMusic #AppleLifestyle</t>
  </si>
  <si>
    <t>Apple Watch Ultra 2 Launch</t>
  </si>
  <si>
    <t>A201</t>
  </si>
  <si>
    <t>YouTube</t>
  </si>
  <si>
    <t>Tweet</t>
  </si>
  <si>
    <t>#ShotOniPhone</t>
  </si>
  <si>
    <t>iPhone 16 Launch</t>
  </si>
  <si>
    <t>A121</t>
  </si>
  <si>
    <t>#AppleWatchUltra2 #HealthTech</t>
  </si>
  <si>
    <t>A127</t>
  </si>
  <si>
    <t>Twitter</t>
  </si>
  <si>
    <t>Image</t>
  </si>
  <si>
    <t>#AppleEvent #iPhone16</t>
  </si>
  <si>
    <t>A13</t>
  </si>
  <si>
    <t>Carousel</t>
  </si>
  <si>
    <t>MacBook Air M3 Campaign</t>
  </si>
  <si>
    <t>A123</t>
  </si>
  <si>
    <t>Sustainability Awareness Drive</t>
  </si>
  <si>
    <t>A287</t>
  </si>
  <si>
    <t>Instagram</t>
  </si>
  <si>
    <t>#AppleEvent #iPadPro</t>
  </si>
  <si>
    <t>A226</t>
  </si>
  <si>
    <t>#AppleWatch #Health</t>
  </si>
  <si>
    <t>Apple Event September 2025</t>
  </si>
  <si>
    <t>A231</t>
  </si>
  <si>
    <t>A185</t>
  </si>
  <si>
    <t>#MacBookAirM3 #AppleInnovation</t>
  </si>
  <si>
    <t>A106</t>
  </si>
  <si>
    <t>A174</t>
  </si>
  <si>
    <t>A254</t>
  </si>
  <si>
    <t>A223</t>
  </si>
  <si>
    <t>#AppleDesign #Innovation</t>
  </si>
  <si>
    <t>A164</t>
  </si>
  <si>
    <t>A151</t>
  </si>
  <si>
    <t>#MacBookProM3</t>
  </si>
  <si>
    <t>A140</t>
  </si>
  <si>
    <t>A83</t>
  </si>
  <si>
    <t>A196</t>
  </si>
  <si>
    <t>A136</t>
  </si>
  <si>
    <t>A5</t>
  </si>
  <si>
    <t>A80</t>
  </si>
  <si>
    <t>A150</t>
  </si>
  <si>
    <t>#iPhonePhotography #ShotOniPhone</t>
  </si>
  <si>
    <t>A220</t>
  </si>
  <si>
    <t>A21</t>
  </si>
  <si>
    <t>A244</t>
  </si>
  <si>
    <t>A76</t>
  </si>
  <si>
    <t>A216</t>
  </si>
  <si>
    <t>A51</t>
  </si>
  <si>
    <t>A6</t>
  </si>
  <si>
    <t>A289</t>
  </si>
  <si>
    <t>A186</t>
  </si>
  <si>
    <t>A61</t>
  </si>
  <si>
    <t>A286</t>
  </si>
  <si>
    <t>A105</t>
  </si>
  <si>
    <t>#iPhone16Launch #AppleEvent</t>
  </si>
  <si>
    <t>A119</t>
  </si>
  <si>
    <t>#Sustainability #AppleEarth</t>
  </si>
  <si>
    <t>A170</t>
  </si>
  <si>
    <t>A46</t>
  </si>
  <si>
    <t>A187</t>
  </si>
  <si>
    <t>A190</t>
  </si>
  <si>
    <t>A251</t>
  </si>
  <si>
    <t>A74</t>
  </si>
  <si>
    <t>A42</t>
  </si>
  <si>
    <t>A246</t>
  </si>
  <si>
    <t>A260</t>
  </si>
  <si>
    <t>A93</t>
  </si>
  <si>
    <t>A163</t>
  </si>
  <si>
    <t>A300</t>
  </si>
  <si>
    <t>A68</t>
  </si>
  <si>
    <t>A126</t>
  </si>
  <si>
    <t>A129</t>
  </si>
  <si>
    <t>A97</t>
  </si>
  <si>
    <t>A47</t>
  </si>
  <si>
    <t>A152</t>
  </si>
  <si>
    <t>A230</t>
  </si>
  <si>
    <t>A148</t>
  </si>
  <si>
    <t>A139</t>
  </si>
  <si>
    <t>A23</t>
  </si>
  <si>
    <t>A125</t>
  </si>
  <si>
    <t>A91</t>
  </si>
  <si>
    <t>A44</t>
  </si>
  <si>
    <t>A276</t>
  </si>
  <si>
    <t>A160</t>
  </si>
  <si>
    <t>A158</t>
  </si>
  <si>
    <t>A202</t>
  </si>
  <si>
    <t>A73</t>
  </si>
  <si>
    <t>A221</t>
  </si>
  <si>
    <t>A285</t>
  </si>
  <si>
    <t>A62</t>
  </si>
  <si>
    <t>A75</t>
  </si>
  <si>
    <t>A189</t>
  </si>
  <si>
    <t>A50</t>
  </si>
  <si>
    <t>A132</t>
  </si>
  <si>
    <t>A40</t>
  </si>
  <si>
    <t>A77</t>
  </si>
  <si>
    <t>A264</t>
  </si>
  <si>
    <t>A108</t>
  </si>
  <si>
    <t>A248</t>
  </si>
  <si>
    <t>A104</t>
  </si>
  <si>
    <t>A242</t>
  </si>
  <si>
    <t>A155</t>
  </si>
  <si>
    <t>A232</t>
  </si>
  <si>
    <t>A224</t>
  </si>
  <si>
    <t>A67</t>
  </si>
  <si>
    <t>A203</t>
  </si>
  <si>
    <t>A184</t>
  </si>
  <si>
    <t>A88</t>
  </si>
  <si>
    <t>A39</t>
  </si>
  <si>
    <t>A168</t>
  </si>
  <si>
    <t>A60</t>
  </si>
  <si>
    <t>A147</t>
  </si>
  <si>
    <t>A72</t>
  </si>
  <si>
    <t>A265</t>
  </si>
  <si>
    <t>A7</t>
  </si>
  <si>
    <t>A100</t>
  </si>
  <si>
    <t>A294</t>
  </si>
  <si>
    <t>A1</t>
  </si>
  <si>
    <t>A84</t>
  </si>
  <si>
    <t>A53</t>
  </si>
  <si>
    <t>A138</t>
  </si>
  <si>
    <t>A194</t>
  </si>
  <si>
    <t>A135</t>
  </si>
  <si>
    <t>A205</t>
  </si>
  <si>
    <t>A24</t>
  </si>
  <si>
    <t>A271</t>
  </si>
  <si>
    <t>A131</t>
  </si>
  <si>
    <t>A36</t>
  </si>
  <si>
    <t>A144</t>
  </si>
  <si>
    <t>A157</t>
  </si>
  <si>
    <t>A109</t>
  </si>
  <si>
    <t>A217</t>
  </si>
  <si>
    <t>A66</t>
  </si>
  <si>
    <t>A228</t>
  </si>
  <si>
    <t>A234</t>
  </si>
  <si>
    <t>A107</t>
  </si>
  <si>
    <t>A63</t>
  </si>
  <si>
    <t>A204</t>
  </si>
  <si>
    <t>A250</t>
  </si>
  <si>
    <t>A95</t>
  </si>
  <si>
    <t>A143</t>
  </si>
  <si>
    <t>A98</t>
  </si>
  <si>
    <t>A161</t>
  </si>
  <si>
    <t>A27</t>
  </si>
  <si>
    <t>A128</t>
  </si>
  <si>
    <t>A159</t>
  </si>
  <si>
    <t>A195</t>
  </si>
  <si>
    <t>A71</t>
  </si>
  <si>
    <t>A92</t>
  </si>
  <si>
    <t>A225</t>
  </si>
  <si>
    <t>A19</t>
  </si>
  <si>
    <t>A3</t>
  </si>
  <si>
    <t>A146</t>
  </si>
  <si>
    <t>A284</t>
  </si>
  <si>
    <t>A235</t>
  </si>
  <si>
    <t>A282</t>
  </si>
  <si>
    <t>A258</t>
  </si>
  <si>
    <t>A153</t>
  </si>
  <si>
    <t>A33</t>
  </si>
  <si>
    <t>A183</t>
  </si>
  <si>
    <t>A52</t>
  </si>
  <si>
    <t>A199</t>
  </si>
  <si>
    <t>A262</t>
  </si>
  <si>
    <t>A268</t>
  </si>
  <si>
    <t>A180</t>
  </si>
  <si>
    <t>A214</t>
  </si>
  <si>
    <t>A272</t>
  </si>
  <si>
    <t>A198</t>
  </si>
  <si>
    <t>A296</t>
  </si>
  <si>
    <t>A240</t>
  </si>
  <si>
    <t>A243</t>
  </si>
  <si>
    <t>A290</t>
  </si>
  <si>
    <t>A237</t>
  </si>
  <si>
    <t>A166</t>
  </si>
  <si>
    <t>A122</t>
  </si>
  <si>
    <t>A249</t>
  </si>
  <si>
    <t>A165</t>
  </si>
  <si>
    <t>A10</t>
  </si>
  <si>
    <t>A103</t>
  </si>
  <si>
    <t>A118</t>
  </si>
  <si>
    <t>A253</t>
  </si>
  <si>
    <t>A114</t>
  </si>
  <si>
    <t>A208</t>
  </si>
  <si>
    <t>A263</t>
  </si>
  <si>
    <t>A35</t>
  </si>
  <si>
    <t>A26</t>
  </si>
  <si>
    <t>A238</t>
  </si>
  <si>
    <t>A56</t>
  </si>
  <si>
    <t>A266</t>
  </si>
  <si>
    <t>A179</t>
  </si>
  <si>
    <t>A2</t>
  </si>
  <si>
    <t>A86</t>
  </si>
  <si>
    <t>A57</t>
  </si>
  <si>
    <t>A297</t>
  </si>
  <si>
    <t>A137</t>
  </si>
  <si>
    <t>A29</t>
  </si>
  <si>
    <t>A34</t>
  </si>
  <si>
    <t>A64</t>
  </si>
  <si>
    <t>A55</t>
  </si>
  <si>
    <t>A259</t>
  </si>
  <si>
    <t>A25</t>
  </si>
  <si>
    <t>A213</t>
  </si>
  <si>
    <t>A255</t>
  </si>
  <si>
    <t>A8</t>
  </si>
  <si>
    <t>A215</t>
  </si>
  <si>
    <t>A117</t>
  </si>
  <si>
    <t>A176</t>
  </si>
  <si>
    <t>A175</t>
  </si>
  <si>
    <t>A212</t>
  </si>
  <si>
    <t>A172</t>
  </si>
  <si>
    <t>A191</t>
  </si>
  <si>
    <t>A227</t>
  </si>
  <si>
    <t>A267</t>
  </si>
  <si>
    <t>A59</t>
  </si>
  <si>
    <t>A124</t>
  </si>
  <si>
    <t>A101</t>
  </si>
  <si>
    <t>A278</t>
  </si>
  <si>
    <t>A11</t>
  </si>
  <si>
    <t>A277</t>
  </si>
  <si>
    <t>A116</t>
  </si>
  <si>
    <t>A112</t>
  </si>
  <si>
    <t>A211</t>
  </si>
  <si>
    <t>A233</t>
  </si>
  <si>
    <t>A239</t>
  </si>
  <si>
    <t>A17</t>
  </si>
  <si>
    <t>A252</t>
  </si>
  <si>
    <t>A209</t>
  </si>
  <si>
    <t>A18</t>
  </si>
  <si>
    <t>A229</t>
  </si>
  <si>
    <t>A89</t>
  </si>
  <si>
    <t>A177</t>
  </si>
  <si>
    <t>A192</t>
  </si>
  <si>
    <t>A115</t>
  </si>
  <si>
    <t>A257</t>
  </si>
  <si>
    <t>A291</t>
  </si>
  <si>
    <t>A299</t>
  </si>
  <si>
    <t>A45</t>
  </si>
  <si>
    <t>A37</t>
  </si>
  <si>
    <t>A162</t>
  </si>
  <si>
    <t>A279</t>
  </si>
  <si>
    <t>A241</t>
  </si>
  <si>
    <t>A111</t>
  </si>
  <si>
    <t>A99</t>
  </si>
  <si>
    <t>A222</t>
  </si>
  <si>
    <t>A54</t>
  </si>
  <si>
    <t>A218</t>
  </si>
  <si>
    <t>A154</t>
  </si>
  <si>
    <t>A210</t>
  </si>
  <si>
    <t>A149</t>
  </si>
  <si>
    <t>A295</t>
  </si>
  <si>
    <t>A85</t>
  </si>
  <si>
    <t>A156</t>
  </si>
  <si>
    <t>A270</t>
  </si>
  <si>
    <t>A169</t>
  </si>
  <si>
    <t>A81</t>
  </si>
  <si>
    <t>A48</t>
  </si>
  <si>
    <t>A15</t>
  </si>
  <si>
    <t>A288</t>
  </si>
  <si>
    <t>A32</t>
  </si>
  <si>
    <t>A133</t>
  </si>
  <si>
    <t>A28</t>
  </si>
  <si>
    <t>A96</t>
  </si>
  <si>
    <t>A87</t>
  </si>
  <si>
    <t>A49</t>
  </si>
  <si>
    <t>A20</t>
  </si>
  <si>
    <t>A102</t>
  </si>
  <si>
    <t>A69</t>
  </si>
  <si>
    <t>A120</t>
  </si>
  <si>
    <t>A293</t>
  </si>
  <si>
    <t>A113</t>
  </si>
  <si>
    <t>A197</t>
  </si>
  <si>
    <t>A94</t>
  </si>
  <si>
    <t>A30</t>
  </si>
  <si>
    <t>A12</t>
  </si>
  <si>
    <t>A269</t>
  </si>
  <si>
    <t>A9</t>
  </si>
  <si>
    <t>A31</t>
  </si>
  <si>
    <t>A22</t>
  </si>
  <si>
    <t>A200</t>
  </si>
  <si>
    <t>A261</t>
  </si>
  <si>
    <t>A219</t>
  </si>
  <si>
    <t>A171</t>
  </si>
  <si>
    <t>A65</t>
  </si>
  <si>
    <t>A130</t>
  </si>
  <si>
    <t>A16</t>
  </si>
  <si>
    <t>A58</t>
  </si>
  <si>
    <t>A145</t>
  </si>
  <si>
    <t>A283</t>
  </si>
  <si>
    <t>A298</t>
  </si>
  <si>
    <t>A90</t>
  </si>
  <si>
    <t>A134</t>
  </si>
  <si>
    <t>A38</t>
  </si>
  <si>
    <t>A70</t>
  </si>
  <si>
    <t>A142</t>
  </si>
  <si>
    <t>A207</t>
  </si>
  <si>
    <t>A274</t>
  </si>
  <si>
    <t>A206</t>
  </si>
  <si>
    <t>A256</t>
  </si>
  <si>
    <t>A182</t>
  </si>
  <si>
    <t>A79</t>
  </si>
  <si>
    <t>A14</t>
  </si>
  <si>
    <t>A275</t>
  </si>
  <si>
    <t>A141</t>
  </si>
  <si>
    <t>A43</t>
  </si>
  <si>
    <t>A281</t>
  </si>
  <si>
    <t>A280</t>
  </si>
  <si>
    <t>A178</t>
  </si>
  <si>
    <t>A181</t>
  </si>
  <si>
    <t>A110</t>
  </si>
  <si>
    <t>A292</t>
  </si>
  <si>
    <t>A273</t>
  </si>
  <si>
    <t>A247</t>
  </si>
  <si>
    <t>A173</t>
  </si>
  <si>
    <t>A193</t>
  </si>
  <si>
    <t>A245</t>
  </si>
  <si>
    <t>A236</t>
  </si>
  <si>
    <t>A41</t>
  </si>
  <si>
    <t>A78</t>
  </si>
  <si>
    <t>A188</t>
  </si>
  <si>
    <t>A4</t>
  </si>
  <si>
    <t>A167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</si>
  <si>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</si>
  <si>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</si>
  <si>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</si>
  <si>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</si>
  <si>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</si>
  <si>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</si>
  <si>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</si>
  <si>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</si>
  <si>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Engagement Rate</t>
  </si>
  <si>
    <t>Campaign</t>
  </si>
  <si>
    <t>PostID</t>
  </si>
  <si>
    <t>Platform</t>
  </si>
  <si>
    <t>Date</t>
  </si>
  <si>
    <t>Week_Start_Date</t>
  </si>
  <si>
    <t>New_Followers</t>
  </si>
  <si>
    <t>Unfollows</t>
  </si>
  <si>
    <t>Total_Followers</t>
  </si>
  <si>
    <t>Engagement_Rate</t>
  </si>
  <si>
    <t>Ad_Spend</t>
  </si>
  <si>
    <t>Campaign_Name</t>
  </si>
  <si>
    <t>Start_Date</t>
  </si>
  <si>
    <t>End_Date</t>
  </si>
  <si>
    <t>Objective</t>
  </si>
  <si>
    <t>Engagement_Uplift</t>
  </si>
  <si>
    <t>Product Launch</t>
  </si>
  <si>
    <t>Product Promotion</t>
  </si>
  <si>
    <t>Health &amp; Fitness Awareness</t>
  </si>
  <si>
    <t>Sustainability Branding</t>
  </si>
  <si>
    <t>Brand Engagement</t>
  </si>
  <si>
    <t>Column Labels</t>
  </si>
  <si>
    <t>Grand Total</t>
  </si>
  <si>
    <t>Row Labels</t>
  </si>
  <si>
    <t>Average of Engagement Rate</t>
  </si>
  <si>
    <t>Average of Engagement_Rate</t>
  </si>
  <si>
    <t xml:space="preserve">Twitter has highest engagement rate among all the platforms </t>
  </si>
  <si>
    <t>Followed by LinkedIn, Instagram then YouTube</t>
  </si>
  <si>
    <t>Followers_Growth_Rate</t>
  </si>
  <si>
    <t>Average of Followers_Growth_Rate</t>
  </si>
  <si>
    <t xml:space="preserve">YouTube has highest follower growth rate </t>
  </si>
  <si>
    <t>Followed by Twitter, Instagram and LinkedIn</t>
  </si>
  <si>
    <t>Average of Ad_Spend</t>
  </si>
  <si>
    <t>Whereas Youtube has lowest Ad Spend but highest Engagement rate</t>
  </si>
  <si>
    <t>LinkedIn has Highest Ad Spend but Least of Engagement rate</t>
  </si>
  <si>
    <t>The apple team should focus more on Twitter + LinkedIn for images + videos</t>
  </si>
  <si>
    <t>And Twitter + Instagram for carousel + tweet</t>
  </si>
  <si>
    <t>The main focus should be on Twitter</t>
  </si>
  <si>
    <t>INSIGHTS:</t>
  </si>
  <si>
    <r>
      <rPr>
        <b/>
        <sz val="11"/>
        <color theme="1"/>
        <rFont val="Calibri"/>
        <family val="2"/>
        <scheme val="minor"/>
      </rPr>
      <t xml:space="preserve">Twitter </t>
    </r>
    <r>
      <rPr>
        <sz val="11"/>
        <color theme="1"/>
        <rFont val="Calibri"/>
        <family val="2"/>
        <scheme val="minor"/>
      </rPr>
      <t xml:space="preserve">has highest engagement rate among all the platforms </t>
    </r>
  </si>
  <si>
    <r>
      <t>The apple team should focus more on</t>
    </r>
    <r>
      <rPr>
        <b/>
        <sz val="11"/>
        <color theme="1"/>
        <rFont val="Calibri"/>
        <family val="2"/>
        <scheme val="minor"/>
      </rPr>
      <t xml:space="preserve"> Twitter + LinkedIn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images + videos</t>
    </r>
  </si>
  <si>
    <r>
      <t xml:space="preserve">And </t>
    </r>
    <r>
      <rPr>
        <b/>
        <sz val="11"/>
        <color theme="1"/>
        <rFont val="Calibri"/>
        <family val="2"/>
        <scheme val="minor"/>
      </rPr>
      <t>Twitter + Instagram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carousel + tweet</t>
    </r>
  </si>
  <si>
    <r>
      <rPr>
        <b/>
        <sz val="11"/>
        <color rgb="FF006100"/>
        <rFont val="Calibri"/>
        <family val="2"/>
        <scheme val="minor"/>
      </rPr>
      <t>YouTube</t>
    </r>
    <r>
      <rPr>
        <sz val="11"/>
        <color rgb="FF006100"/>
        <rFont val="Calibri"/>
        <family val="2"/>
        <scheme val="minor"/>
      </rPr>
      <t xml:space="preserve"> has highest follower growth rate </t>
    </r>
  </si>
  <si>
    <r>
      <rPr>
        <b/>
        <sz val="11"/>
        <color theme="0"/>
        <rFont val="Calibri"/>
        <family val="2"/>
        <scheme val="minor"/>
      </rPr>
      <t>LinkedIn</t>
    </r>
    <r>
      <rPr>
        <sz val="11"/>
        <color theme="0"/>
        <rFont val="Calibri"/>
        <family val="2"/>
        <scheme val="minor"/>
      </rPr>
      <t xml:space="preserve"> has Highest Ad Spend but Least of Engagement rate</t>
    </r>
  </si>
  <si>
    <r>
      <t xml:space="preserve">Whereas </t>
    </r>
    <r>
      <rPr>
        <b/>
        <sz val="11"/>
        <color theme="0"/>
        <rFont val="Calibri"/>
        <family val="2"/>
        <scheme val="minor"/>
      </rPr>
      <t>Youtube</t>
    </r>
    <r>
      <rPr>
        <sz val="11"/>
        <color theme="0"/>
        <rFont val="Calibri"/>
        <family val="2"/>
        <scheme val="minor"/>
      </rPr>
      <t xml:space="preserve"> has lowest Ad Spend but highest Engagement rate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</si>
</sst>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&quot;₹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5" fillId="3" borderId="0" applyNumberFormat="0" applyBorder="0" applyAlignment="0" applyProtection="0"/>
    <xf numFmtId="0" fontId="1" fillId="6" borderId="0" applyNumberFormat="0" applyBorder="0" applyAlignment="0" applyProtection="0"/>
  </cellStyleXfs>
  <cellXfs count="51">
    <xf numFmtId="0" fontId="0" fillId="0" borderId="0" xfId="0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1" fontId="0" fillId="0" borderId="1" xfId="0" applyNumberFormat="1" applyBorder="1" applyAlignment="1">
      <alignment horizontal="right" wrapText="1"/>
    </xf>
    <xf numFmtId="164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horizontal="right" wrapText="1"/>
    </xf>
    <xf numFmtId="0" fontId="0" fillId="0" borderId="2" xfId="0" applyBorder="1" applyAlignment="1">
      <alignment wrapText="1"/>
    </xf>
    <xf numFmtId="14" fontId="0" fillId="0" borderId="2" xfId="0" applyNumberFormat="1" applyBorder="1" applyAlignment="1">
      <alignment wrapText="1"/>
    </xf>
    <xf numFmtId="1" fontId="0" fillId="0" borderId="2" xfId="0" applyNumberFormat="1" applyBorder="1" applyAlignment="1">
      <alignment horizontal="right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1" fontId="4" fillId="0" borderId="4" xfId="0" applyNumberFormat="1" applyFont="1" applyBorder="1" applyAlignment="1">
      <alignment horizontal="center" vertical="top" wrapText="1"/>
    </xf>
    <xf numFmtId="14" fontId="0" fillId="0" borderId="2" xfId="0" applyNumberFormat="1" applyBorder="1" applyAlignment="1">
      <alignment horizontal="right" wrapText="1"/>
    </xf>
    <xf numFmtId="1" fontId="0" fillId="0" borderId="0" xfId="0" applyNumberFormat="1"/>
    <xf numFmtId="0" fontId="2" fillId="2" borderId="0" xfId="2"/>
    <xf numFmtId="2" fontId="4" fillId="0" borderId="4" xfId="0" applyNumberFormat="1" applyFont="1" applyBorder="1" applyAlignment="1">
      <alignment horizontal="center" vertical="top" wrapText="1"/>
    </xf>
    <xf numFmtId="165" fontId="4" fillId="0" borderId="5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right" wrapText="1"/>
    </xf>
    <xf numFmtId="165" fontId="0" fillId="0" borderId="6" xfId="0" applyNumberFormat="1" applyBorder="1" applyAlignment="1">
      <alignment horizontal="right" wrapText="1"/>
    </xf>
    <xf numFmtId="2" fontId="0" fillId="0" borderId="2" xfId="0" applyNumberFormat="1" applyBorder="1" applyAlignment="1">
      <alignment horizontal="right" wrapText="1"/>
    </xf>
    <xf numFmtId="165" fontId="0" fillId="0" borderId="7" xfId="0" applyNumberFormat="1" applyBorder="1" applyAlignment="1">
      <alignment horizontal="right" wrapText="1"/>
    </xf>
    <xf numFmtId="2" fontId="0" fillId="0" borderId="0" xfId="0" applyNumberFormat="1"/>
    <xf numFmtId="165" fontId="0" fillId="0" borderId="0" xfId="0" applyNumberFormat="1"/>
    <xf numFmtId="165" fontId="4" fillId="0" borderId="4" xfId="0" applyNumberFormat="1" applyFont="1" applyBorder="1" applyAlignment="1">
      <alignment horizontal="center" vertical="top" wrapText="1"/>
    </xf>
    <xf numFmtId="2" fontId="4" fillId="0" borderId="5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right" wrapText="1"/>
    </xf>
    <xf numFmtId="2" fontId="0" fillId="0" borderId="6" xfId="0" applyNumberFormat="1" applyBorder="1" applyAlignment="1">
      <alignment horizontal="right" wrapText="1"/>
    </xf>
    <xf numFmtId="165" fontId="0" fillId="0" borderId="2" xfId="0" applyNumberFormat="1" applyBorder="1" applyAlignment="1">
      <alignment horizontal="right" wrapText="1"/>
    </xf>
    <xf numFmtId="2" fontId="0" fillId="0" borderId="7" xfId="0" applyNumberFormat="1" applyBorder="1" applyAlignment="1">
      <alignment horizontal="right" wrapText="1"/>
    </xf>
    <xf numFmtId="0" fontId="0" fillId="0" borderId="0" xfId="0" applyAlignment="1">
      <alignment horizontal="left"/>
    </xf>
    <xf numFmtId="0" fontId="0" fillId="0" borderId="0" xfId="0" pivotButton="1"/>
    <xf numFmtId="164" fontId="0" fillId="0" borderId="0" xfId="0" applyNumberFormat="1"/>
    <xf numFmtId="0" fontId="5" fillId="4" borderId="0" xfId="0" applyFont="1" applyFill="1"/>
    <xf numFmtId="0" fontId="1" fillId="7" borderId="0" xfId="0" applyFont="1" applyFill="1"/>
    <xf numFmtId="0" fontId="1" fillId="6" borderId="0" xfId="0" applyFont="1" applyFill="1"/>
    <xf numFmtId="0" fontId="1" fillId="5" borderId="0" xfId="0" applyFont="1" applyFill="1"/>
    <xf numFmtId="1" fontId="4" fillId="0" borderId="9" xfId="0" applyNumberFormat="1" applyFont="1" applyBorder="1" applyAlignment="1">
      <alignment horizontal="center" vertical="top" wrapText="1"/>
    </xf>
    <xf numFmtId="164" fontId="0" fillId="0" borderId="8" xfId="0" applyNumberFormat="1" applyBorder="1" applyAlignment="1">
      <alignment horizontal="right" wrapText="1"/>
    </xf>
    <xf numFmtId="10" fontId="0" fillId="0" borderId="8" xfId="1" applyNumberFormat="1" applyFont="1" applyBorder="1" applyAlignment="1">
      <alignment horizontal="right" wrapText="1"/>
    </xf>
    <xf numFmtId="0" fontId="5" fillId="3" borderId="0" xfId="3"/>
    <xf numFmtId="1" fontId="4" fillId="0" borderId="10" xfId="0" applyNumberFormat="1" applyFont="1" applyBorder="1" applyAlignment="1">
      <alignment horizontal="center" vertical="top" wrapText="1"/>
    </xf>
    <xf numFmtId="164" fontId="0" fillId="0" borderId="11" xfId="0" applyNumberFormat="1" applyBorder="1" applyAlignment="1">
      <alignment horizontal="right"/>
    </xf>
    <xf numFmtId="164" fontId="0" fillId="0" borderId="12" xfId="0" applyNumberFormat="1" applyBorder="1" applyAlignment="1">
      <alignment horizontal="right"/>
    </xf>
    <xf numFmtId="2" fontId="5" fillId="4" borderId="0" xfId="0" applyNumberFormat="1" applyFont="1" applyFill="1"/>
    <xf numFmtId="2" fontId="1" fillId="7" borderId="0" xfId="0" applyNumberFormat="1" applyFont="1" applyFill="1"/>
    <xf numFmtId="2" fontId="1" fillId="6" borderId="0" xfId="0" applyNumberFormat="1" applyFont="1" applyFill="1"/>
    <xf numFmtId="2" fontId="1" fillId="5" borderId="0" xfId="0" applyNumberFormat="1" applyFont="1" applyFill="1"/>
    <xf numFmtId="0" fontId="1" fillId="6" borderId="0" xfId="4"/>
    <xf numFmtId="0" fontId="6" fillId="0" borderId="0" xfId="0" applyFont="1"/>
    <xf numFmtId="0" fontId="0" fillId="6" borderId="0" xfId="4" applyFont="1"/>
    <xf numFmtId="0" fontId="4" fillId="6" borderId="0" xfId="4" applyFont="1"/>
  </cellXfs>
  <cellStyles count="5">
    <cellStyle name="40% - Accent6" xfId="4" builtinId="51"/>
    <cellStyle name="Accent3" xfId="3" builtinId="37"/>
    <cellStyle name="Good" xfId="2" builtinId="26"/>
    <cellStyle name="Normal" xfId="0" builtinId="0"/>
    <cellStyle name="Percent" xfId="1" builtinId="5"/>
  </cellStyles>
  <dxfs count="56">
    <dxf>
      <numFmt numFmtId="2" formatCode="0.00"/>
    </dxf>
    <dxf>
      <numFmt numFmtId="164" formatCode="0.0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9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theme="9"/>
        </patternFill>
      </fill>
    </dxf>
    <dxf>
      <numFmt numFmtId="2" formatCode="0.00"/>
    </dxf>
    <dxf>
      <numFmt numFmtId="2" formatCode="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65" formatCode="&quot;₹&quot;\ #,##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right style="medium">
          <color rgb="FFCCCCCC"/>
        </right>
        <top style="medium">
          <color rgb="FF000000"/>
        </top>
        <bottom style="medium">
          <color rgb="FFCCCCCC"/>
        </bottom>
      </border>
    </dxf>
    <dxf>
      <border outline="0">
        <bottom style="medium">
          <color rgb="FF000000"/>
        </bottom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65" formatCode="&quot;₹&quot;\ #,##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numFmt numFmtId="2" formatCode="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right style="medium">
          <color rgb="FFCCCCCC"/>
        </right>
        <top style="medium">
          <color rgb="FF000000"/>
        </top>
        <bottom style="medium">
          <color rgb="FFCCCCCC"/>
        </bottom>
      </border>
    </dxf>
    <dxf>
      <alignment horizontal="right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top" textRotation="0" wrapText="1" indent="0" justifyLastLine="0" shrinkToFit="0" readingOrder="0"/>
    </dxf>
    <dxf>
      <numFmt numFmtId="164" formatCode="0.0000"/>
      <alignment horizontal="right" vertical="bottom" textRotation="0" wrapText="0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bottom style="medium">
          <color rgb="FFCCCCCC"/>
        </bottom>
      </border>
    </dxf>
    <dxf>
      <alignment horizontal="right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" formatCode="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dd/mm/yyyy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top style="medium">
          <color rgb="FF000000"/>
        </top>
        <bottom style="medium">
          <color rgb="FFCCCCCC"/>
        </bottom>
      </border>
    </dxf>
    <dxf>
      <alignment horizontal="right" vertical="bottom" textRotation="0" wrapText="1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HANI" refreshedDate="46119.642500462964" createdVersion="8" refreshedVersion="8" minRefreshableVersion="3" recordCount="202" xr:uid="{D846B792-E063-4030-AE0B-35667F8E9871}">
  <cacheSource type="worksheet">
    <worksheetSource name="Table3"/>
  </cacheSource>
  <cacheFields count="8">
    <cacheField name="Week_Start_Date" numFmtId="14">
      <sharedItems containsNonDate="0" containsDate="1" containsString="0" containsBlank="1" minDate="2024-06-03T00:00:00" maxDate="2025-05-13T00:00:00"/>
    </cacheField>
    <cacheField name="Platform" numFmtId="0">
      <sharedItems containsBlank="1" count="5">
        <s v="Instagram"/>
        <s v="Twitter"/>
        <s v="YouTube"/>
        <s v="LinkedIn"/>
        <m/>
      </sharedItems>
    </cacheField>
    <cacheField name="New_Followers" numFmtId="1">
      <sharedItems containsString="0" containsBlank="1" containsNumber="1" containsInteger="1" minValue="1016" maxValue="9984"/>
    </cacheField>
    <cacheField name="Unfollows" numFmtId="1">
      <sharedItems containsString="0" containsBlank="1" containsNumber="1" containsInteger="1" minValue="67" maxValue="1417"/>
    </cacheField>
    <cacheField name="Total_Followers" numFmtId="1">
      <sharedItems containsString="0" containsBlank="1" containsNumber="1" containsInteger="1" minValue="103777" maxValue="1186398"/>
    </cacheField>
    <cacheField name="Engagement_Rate" numFmtId="2">
      <sharedItems containsString="0" containsBlank="1" containsNumber="1" minValue="1.381177898" maxValue="92.312204609999995"/>
    </cacheField>
    <cacheField name="Ad_Spend" numFmtId="165">
      <sharedItems containsString="0" containsBlank="1" containsNumber="1" containsInteger="1" minValue="10161" maxValue="59823"/>
    </cacheField>
    <cacheField name="Followers_Growth_Rate" numFmtId="0">
      <sharedItems containsString="0" containsBlank="1" containsNumber="1" minValue="7.7465246904209403E-4" maxValue="6.807059296751918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HANI" refreshedDate="46119.646142824073" createdVersion="8" refreshedVersion="8" minRefreshableVersion="3" recordCount="203" xr:uid="{D2D11EA7-48D9-49EE-978A-AAF9298B6C84}">
  <cacheSource type="worksheet">
    <worksheetSource ref="A1:H1048576" sheet="Engagement Summary"/>
  </cacheSource>
  <cacheFields count="8">
    <cacheField name="Week_Start_Date" numFmtId="0">
      <sharedItems containsNonDate="0" containsDate="1" containsString="0" containsBlank="1" minDate="2024-06-03T00:00:00" maxDate="2025-05-13T00:00:00"/>
    </cacheField>
    <cacheField name="Platform" numFmtId="0">
      <sharedItems containsBlank="1" count="5">
        <s v="Instagram"/>
        <s v="Twitter"/>
        <s v="YouTube"/>
        <s v="LinkedIn"/>
        <m/>
      </sharedItems>
    </cacheField>
    <cacheField name="New_Followers" numFmtId="1">
      <sharedItems containsString="0" containsBlank="1" containsNumber="1" containsInteger="1" minValue="1016" maxValue="9984"/>
    </cacheField>
    <cacheField name="Unfollows" numFmtId="1">
      <sharedItems containsString="0" containsBlank="1" containsNumber="1" containsInteger="1" minValue="67" maxValue="1417"/>
    </cacheField>
    <cacheField name="Total_Followers" numFmtId="1">
      <sharedItems containsString="0" containsBlank="1" containsNumber="1" containsInteger="1" minValue="103777" maxValue="1186398"/>
    </cacheField>
    <cacheField name="Engagement_Rate" numFmtId="2">
      <sharedItems containsString="0" containsBlank="1" containsNumber="1" minValue="1.381177898" maxValue="92.312204609999995" count="201">
        <n v="56.637790649999999"/>
        <n v="69.475492090000003"/>
        <n v="92.312204609999995"/>
        <n v="16.351815599999998"/>
        <n v="35.577824399999997"/>
        <n v="52.0648926"/>
        <n v="19.551862700000001"/>
        <n v="49.159817660000002"/>
        <n v="12.226329440000001"/>
        <n v="54.158984060000002"/>
        <n v="9.2506362959999997"/>
        <n v="60.425889349999999"/>
        <n v="57.524479309999997"/>
        <n v="14.8275226"/>
        <n v="5.4343004620000004"/>
        <n v="60.827661630000001"/>
        <n v="17.89403596"/>
        <n v="7.6914636319999996"/>
        <n v="12.83721978"/>
        <n v="17.412786950000001"/>
        <n v="47.634187799999999"/>
        <n v="39.284614070000003"/>
        <n v="9.8205504339999994"/>
        <n v="41.606628829999998"/>
        <n v="13.63558999"/>
        <n v="20.472468859999999"/>
        <n v="11.20836658"/>
        <n v="12.1576255"/>
        <n v="37.302925590000001"/>
        <n v="41.821714970000002"/>
        <n v="52.792102810000003"/>
        <n v="49.647922620000003"/>
        <n v="28.158158780000001"/>
        <n v="23.920557909999999"/>
        <n v="44.21927298"/>
        <n v="14.11767394"/>
        <n v="27.765518530000001"/>
        <n v="21.669318310000001"/>
        <n v="46.999749649999998"/>
        <n v="5.2152906950000002"/>
        <n v="14.71218489"/>
        <n v="44.450416150000002"/>
        <n v="28.065042559999998"/>
        <n v="26.003918290000001"/>
        <n v="13.4773029"/>
        <n v="4.6034181700000003"/>
        <n v="5.7694619610000002"/>
        <n v="20.46539508"/>
        <n v="38.012181839999997"/>
        <n v="37.861012979999998"/>
        <n v="3.6633501709999998"/>
        <n v="37.760512540000001"/>
        <n v="30.11858664"/>
        <n v="33.909842730000001"/>
        <n v="24.45741112"/>
        <n v="10.49425574"/>
        <n v="33.257448119999999"/>
        <n v="6.2966210699999996"/>
        <n v="6.9547481180000004"/>
        <n v="17.750287879999998"/>
        <n v="11.194362999999999"/>
        <n v="4.7335970429999996"/>
        <n v="29.921209099999999"/>
        <n v="3.5037017289999999"/>
        <n v="31.554451490000002"/>
        <n v="29.458442340000001"/>
        <n v="15.72131695"/>
        <n v="19.214592790000001"/>
        <n v="25.077864760000001"/>
        <n v="23.761877129999998"/>
        <n v="13.20860364"/>
        <n v="8.5343795690000004"/>
        <n v="12.73421615"/>
        <n v="25.120888149999999"/>
        <n v="25.64820078"/>
        <n v="13.087583909999999"/>
        <n v="2.1877429780000002"/>
        <n v="8.3562843789999999"/>
        <n v="27.040693109999999"/>
        <n v="6.8073045370000003"/>
        <n v="3.4213758990000001"/>
        <n v="5.5136820660000003"/>
        <n v="26.921416900000001"/>
        <n v="3.5131404829999999"/>
        <n v="11.505070590000001"/>
        <n v="6.4069368019999997"/>
        <n v="17.560907619999998"/>
        <n v="7.2934726190000001"/>
        <n v="18.05853488"/>
        <n v="17.617880490000001"/>
        <n v="23.43584113"/>
        <n v="15.150015420000001"/>
        <n v="21.777768989999998"/>
        <n v="8.7252768669999998"/>
        <n v="9.0711806950000007"/>
        <n v="3.0908004509999998"/>
        <n v="1.677472716"/>
        <n v="3.570599455"/>
        <n v="12.426427090000001"/>
        <n v="20.240280609999999"/>
        <n v="15.458517949999999"/>
        <n v="15.96622019"/>
        <n v="5.3017854529999999"/>
        <n v="10.216562959999999"/>
        <n v="4.1495730660000003"/>
        <n v="17.447506140000002"/>
        <n v="6.3556780350000004"/>
        <n v="16.62548713"/>
        <n v="13.44916997"/>
        <n v="12.35057894"/>
        <n v="12.91339449"/>
        <n v="20.774215900000002"/>
        <n v="11.564167279999999"/>
        <n v="5.9603306849999997"/>
        <n v="19.258633509999999"/>
        <n v="13.428486449999999"/>
        <n v="19.449384890000001"/>
        <n v="1.381177898"/>
        <n v="18.066780319999999"/>
        <n v="10.34986591"/>
        <n v="11.391727789999999"/>
        <n v="15.062312950000001"/>
        <n v="6.3086149430000003"/>
        <n v="5.0212654700000003"/>
        <n v="4.0220344099999998"/>
        <n v="12.40728732"/>
        <n v="9.1811305579999996"/>
        <n v="8.1379717409999994"/>
        <n v="15.21194536"/>
        <n v="13.941172330000001"/>
        <n v="14.664542880000001"/>
        <n v="18.236747439999998"/>
        <n v="7.1083748729999998"/>
        <n v="7.6464588469999999"/>
        <n v="12.962174579999999"/>
        <n v="7.201344336"/>
        <n v="4.6300017459999996"/>
        <n v="7.0117859410000003"/>
        <n v="15.797223049999999"/>
        <n v="11.124410040000001"/>
        <n v="9.5052903929999992"/>
        <n v="3.7175793160000001"/>
        <n v="8.7680048209999999"/>
        <n v="7.6673478619999997"/>
        <n v="14.24879726"/>
        <n v="15.90337253"/>
        <n v="1.399701683"/>
        <n v="10.59353473"/>
        <n v="9.2688963080000004"/>
        <n v="2.7289026949999999"/>
        <n v="14.789893749999999"/>
        <n v="2.3800168579999998"/>
        <n v="3.4123325809999998"/>
        <n v="1.9837452630000001"/>
        <n v="15.6848925"/>
        <n v="7.4744446729999998"/>
        <n v="4.6083932010000002"/>
        <n v="6.5651927370000003"/>
        <n v="2.9062061460000002"/>
        <n v="2.5803804540000002"/>
        <n v="1.5250363929999999"/>
        <n v="3.869409326"/>
        <n v="2.110647706"/>
        <n v="2.4004972009999999"/>
        <n v="10.430865170000001"/>
        <n v="12.455175029999999"/>
        <n v="8.7022876769999993"/>
        <n v="6.0590578239999999"/>
        <n v="6.4086467970000003"/>
        <n v="14.03040202"/>
        <n v="5.768052945"/>
        <n v="4.2080986009999997"/>
        <n v="5.057443868"/>
        <n v="5.5892257159999996"/>
        <n v="6.5457075570000001"/>
        <n v="13.86474263"/>
        <n v="8.1237966900000007"/>
        <n v="6.895447763"/>
        <n v="5.2243073530000004"/>
        <n v="12.70977259"/>
        <n v="9.5896977490000008"/>
        <n v="9.3041390360000005"/>
        <n v="12.215500560000001"/>
        <n v="1.6414605659999999"/>
        <n v="12.414411899999999"/>
        <n v="2.2102165029999998"/>
        <n v="8.1114645769999996"/>
        <n v="10.234892670000001"/>
        <n v="8.7776256769999996"/>
        <n v="5.6959041020000001"/>
        <n v="11.940413080000001"/>
        <n v="6.3457020770000003"/>
        <n v="11.093752029999999"/>
        <n v="6.9871371389999997"/>
        <n v="2.8935771840000002"/>
        <n v="3.8777032070000002"/>
        <n v="7.243922188"/>
        <n v="9.0959645659999993"/>
        <n v="5.2275645859999997"/>
        <n v="1.67608172"/>
        <m/>
      </sharedItems>
    </cacheField>
    <cacheField name="Ad_Spend" numFmtId="165">
      <sharedItems containsString="0" containsBlank="1" containsNumber="1" containsInteger="1" minValue="10161" maxValue="59823"/>
    </cacheField>
    <cacheField name="Followers_Growth_Rate" numFmtId="0">
      <sharedItems containsString="0" containsBlank="1" containsNumber="1" minValue="7.7465246904209403E-4" maxValue="6.8070592967519189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HANI" refreshedDate="46119.666870833331" createdVersion="8" refreshedVersion="8" minRefreshableVersion="3" recordCount="302" xr:uid="{46CEB856-3C7B-4F79-9EFE-60C4782FB7BA}">
  <cacheSource type="worksheet">
    <worksheetSource ref="A1:M1048576" sheet="Posts"/>
  </cacheSource>
  <cacheFields count="13">
    <cacheField name="PostID" numFmtId="0">
      <sharedItems containsBlank="1"/>
    </cacheField>
    <cacheField name="Platform" numFmtId="0">
      <sharedItems containsBlank="1" count="5">
        <s v="LinkedIn"/>
        <s v="YouTube"/>
        <s v="Twitter"/>
        <s v="Instagram"/>
        <m/>
      </sharedItems>
    </cacheField>
    <cacheField name="Date" numFmtId="0">
      <sharedItems containsNonDate="0" containsDate="1" containsString="0" containsBlank="1" minDate="2024-06-01T00:00:00" maxDate="2025-10-16T00:00:00"/>
    </cacheField>
    <cacheField name="ContentType" numFmtId="0">
      <sharedItems containsBlank="1" count="5">
        <s v="Video"/>
        <s v="Tweet"/>
        <s v="Image"/>
        <s v="Carousel"/>
        <m/>
      </sharedItems>
    </cacheField>
    <cacheField name="Hashtags" numFmtId="0">
      <sharedItems containsBlank="1"/>
    </cacheField>
    <cacheField name="Likes" numFmtId="0">
      <sharedItems containsString="0" containsBlank="1" containsNumber="1" containsInteger="1" minValue="2009" maxValue="24984"/>
    </cacheField>
    <cacheField name="Shares" numFmtId="0">
      <sharedItems containsString="0" containsBlank="1" containsNumber="1" containsInteger="1" minValue="203" maxValue="1487"/>
    </cacheField>
    <cacheField name="Comments" numFmtId="0">
      <sharedItems containsString="0" containsBlank="1" containsNumber="1" containsInteger="1" minValue="152" maxValue="999"/>
    </cacheField>
    <cacheField name="Clicks" numFmtId="0">
      <sharedItems containsString="0" containsBlank="1" containsNumber="1" containsInteger="1" minValue="301" maxValue="2936"/>
    </cacheField>
    <cacheField name="Reach" numFmtId="0">
      <sharedItems containsString="0" containsBlank="1" containsNumber="1" containsInteger="1" minValue="7" maxValue="97772"/>
    </cacheField>
    <cacheField name="Impressions" numFmtId="0">
      <sharedItems containsString="0" containsBlank="1" containsNumber="1" containsInteger="1" minValue="40281" maxValue="249988"/>
    </cacheField>
    <cacheField name="Campaign" numFmtId="0">
      <sharedItems containsBlank="1"/>
    </cacheField>
    <cacheField name="Engagement Rate" numFmtId="0">
      <sharedItems containsString="0" containsBlank="1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2">
  <r>
    <d v="2024-06-03T00:00:00"/>
    <x v="0"/>
    <n v="4138"/>
    <n v="361"/>
    <n v="103777"/>
    <n v="56.637790649999999"/>
    <n v="23944"/>
    <n v="3.6395347716738774E-2"/>
  </r>
  <r>
    <d v="2024-06-03T00:00:00"/>
    <x v="1"/>
    <n v="8693"/>
    <n v="1261"/>
    <n v="111209"/>
    <n v="69.475492090000003"/>
    <n v="29873"/>
    <n v="6.6829123542159363E-2"/>
  </r>
  <r>
    <d v="2024-06-03T00:00:00"/>
    <x v="2"/>
    <n v="9264"/>
    <n v="1141"/>
    <n v="119332"/>
    <n v="92.312204609999995"/>
    <n v="50372"/>
    <n v="6.8070592967519189E-2"/>
  </r>
  <r>
    <d v="2024-06-03T00:00:00"/>
    <x v="2"/>
    <n v="8842"/>
    <n v="971"/>
    <n v="127203"/>
    <n v="16.351815599999998"/>
    <n v="33928"/>
    <n v="6.1877471443283573E-2"/>
  </r>
  <r>
    <d v="2024-06-10T00:00:00"/>
    <x v="0"/>
    <n v="7721"/>
    <n v="506"/>
    <n v="134418"/>
    <n v="35.577824399999997"/>
    <n v="25379"/>
    <n v="5.3675846984778827E-2"/>
  </r>
  <r>
    <d v="2024-06-10T00:00:00"/>
    <x v="2"/>
    <n v="8002"/>
    <n v="524"/>
    <n v="141896"/>
    <n v="52.0648926"/>
    <n v="46751"/>
    <n v="5.270056943113266E-2"/>
  </r>
  <r>
    <d v="2024-06-10T00:00:00"/>
    <x v="1"/>
    <n v="5225"/>
    <n v="291"/>
    <n v="146830"/>
    <n v="19.551862700000001"/>
    <n v="44546"/>
    <n v="3.3603487025812166E-2"/>
  </r>
  <r>
    <d v="2024-06-10T00:00:00"/>
    <x v="1"/>
    <n v="3978"/>
    <n v="543"/>
    <n v="150265"/>
    <n v="49.159817660000002"/>
    <n v="34286"/>
    <n v="2.2859614680730708E-2"/>
  </r>
  <r>
    <d v="2024-06-17T00:00:00"/>
    <x v="0"/>
    <n v="8373"/>
    <n v="921"/>
    <n v="157717"/>
    <n v="12.226329440000001"/>
    <n v="15110"/>
    <n v="4.7249186834646864E-2"/>
  </r>
  <r>
    <d v="2024-06-17T00:00:00"/>
    <x v="1"/>
    <n v="6907"/>
    <n v="834"/>
    <n v="163790"/>
    <n v="54.158984060000002"/>
    <n v="22087"/>
    <n v="3.7077965687770928E-2"/>
  </r>
  <r>
    <d v="2024-06-17T00:00:00"/>
    <x v="3"/>
    <n v="7097"/>
    <n v="369"/>
    <n v="170518"/>
    <n v="9.2506362959999997"/>
    <n v="33762"/>
    <n v="3.9456245088495059E-2"/>
  </r>
  <r>
    <d v="2024-06-17T00:00:00"/>
    <x v="0"/>
    <n v="6656"/>
    <n v="978"/>
    <n v="176196"/>
    <n v="60.425889349999999"/>
    <n v="27081"/>
    <n v="3.2225476174260484E-2"/>
  </r>
  <r>
    <d v="2024-06-24T00:00:00"/>
    <x v="1"/>
    <n v="9984"/>
    <n v="1330"/>
    <n v="184850"/>
    <n v="57.524479309999997"/>
    <n v="44947"/>
    <n v="4.6816337571003515E-2"/>
  </r>
  <r>
    <d v="2024-06-24T00:00:00"/>
    <x v="0"/>
    <n v="5259"/>
    <n v="374"/>
    <n v="189735"/>
    <n v="14.8275226"/>
    <n v="19596"/>
    <n v="2.5746435818378266E-2"/>
  </r>
  <r>
    <d v="2024-06-24T00:00:00"/>
    <x v="2"/>
    <n v="9286"/>
    <n v="633"/>
    <n v="198388"/>
    <n v="5.4343004620000004"/>
    <n v="48019"/>
    <n v="4.3616549388067825E-2"/>
  </r>
  <r>
    <d v="2024-06-24T00:00:00"/>
    <x v="1"/>
    <n v="6901"/>
    <n v="471"/>
    <n v="204818"/>
    <n v="60.827661630000001"/>
    <n v="52003"/>
    <n v="3.1393725160874533E-2"/>
  </r>
  <r>
    <d v="2024-07-01T00:00:00"/>
    <x v="3"/>
    <n v="5917"/>
    <n v="475"/>
    <n v="210260"/>
    <n v="17.89403596"/>
    <n v="28313"/>
    <n v="2.5882241034909159E-2"/>
  </r>
  <r>
    <d v="2024-07-01T00:00:00"/>
    <x v="1"/>
    <n v="9429"/>
    <n v="966"/>
    <n v="218723"/>
    <n v="7.6914636319999996"/>
    <n v="57639"/>
    <n v="3.8692775794040866E-2"/>
  </r>
  <r>
    <d v="2024-07-01T00:00:00"/>
    <x v="0"/>
    <n v="3530"/>
    <n v="328"/>
    <n v="221925"/>
    <n v="12.83721978"/>
    <n v="11013"/>
    <n v="1.4428297848372199E-2"/>
  </r>
  <r>
    <d v="2024-07-01T00:00:00"/>
    <x v="0"/>
    <n v="2960"/>
    <n v="234"/>
    <n v="224651"/>
    <n v="17.412786950000001"/>
    <n v="59378"/>
    <n v="1.213437732304775E-2"/>
  </r>
  <r>
    <d v="2024-07-08T00:00:00"/>
    <x v="1"/>
    <n v="8045"/>
    <n v="894"/>
    <n v="231802"/>
    <n v="47.634187799999999"/>
    <n v="33705"/>
    <n v="3.084960440375838E-2"/>
  </r>
  <r>
    <d v="2024-07-08T00:00:00"/>
    <x v="3"/>
    <n v="2048"/>
    <n v="130"/>
    <n v="233720"/>
    <n v="39.284614070000003"/>
    <n v="11828"/>
    <n v="8.2064008214958063E-3"/>
  </r>
  <r>
    <d v="2024-07-08T00:00:00"/>
    <x v="3"/>
    <n v="6772"/>
    <n v="536"/>
    <n v="239956"/>
    <n v="9.8205504339999994"/>
    <n v="17909"/>
    <n v="2.5988097817933289E-2"/>
  </r>
  <r>
    <d v="2024-07-08T00:00:00"/>
    <x v="3"/>
    <n v="3529"/>
    <n v="305"/>
    <n v="243180"/>
    <n v="41.606628829999998"/>
    <n v="48356"/>
    <n v="1.3257669216218439E-2"/>
  </r>
  <r>
    <d v="2024-07-15T00:00:00"/>
    <x v="0"/>
    <n v="3964"/>
    <n v="378"/>
    <n v="246766"/>
    <n v="13.63558999"/>
    <n v="23109"/>
    <n v="1.453198576789347E-2"/>
  </r>
  <r>
    <d v="2024-07-15T00:00:00"/>
    <x v="1"/>
    <n v="8137"/>
    <n v="1045"/>
    <n v="253858"/>
    <n v="20.472468859999999"/>
    <n v="12023"/>
    <n v="2.7936878097203948E-2"/>
  </r>
  <r>
    <d v="2024-07-15T00:00:00"/>
    <x v="2"/>
    <n v="1963"/>
    <n v="137"/>
    <n v="255684"/>
    <n v="11.20836658"/>
    <n v="24537"/>
    <n v="7.1416279469970747E-3"/>
  </r>
  <r>
    <d v="2024-07-15T00:00:00"/>
    <x v="0"/>
    <n v="1536"/>
    <n v="155"/>
    <n v="257065"/>
    <n v="12.1576255"/>
    <n v="36661"/>
    <n v="5.3721821329235798E-3"/>
  </r>
  <r>
    <d v="2024-07-22T00:00:00"/>
    <x v="3"/>
    <n v="8340"/>
    <n v="911"/>
    <n v="264494"/>
    <n v="37.302925590000001"/>
    <n v="48659"/>
    <n v="2.8087593669421613E-2"/>
  </r>
  <r>
    <d v="2024-07-22T00:00:00"/>
    <x v="1"/>
    <n v="8179"/>
    <n v="446"/>
    <n v="272227"/>
    <n v="41.821714970000002"/>
    <n v="43848"/>
    <n v="2.8406440213498294E-2"/>
  </r>
  <r>
    <d v="2024-07-22T00:00:00"/>
    <x v="3"/>
    <n v="8967"/>
    <n v="993"/>
    <n v="280201"/>
    <n v="52.792102810000003"/>
    <n v="47804"/>
    <n v="2.8458142547671136E-2"/>
  </r>
  <r>
    <d v="2024-07-22T00:00:00"/>
    <x v="2"/>
    <n v="9734"/>
    <n v="652"/>
    <n v="289283"/>
    <n v="49.647922620000003"/>
    <n v="25379"/>
    <n v="3.1394862470314533E-2"/>
  </r>
  <r>
    <d v="2024-07-29T00:00:00"/>
    <x v="3"/>
    <n v="1845"/>
    <n v="104"/>
    <n v="291024"/>
    <n v="28.158158780000001"/>
    <n v="37766"/>
    <n v="5.9823244818296775E-3"/>
  </r>
  <r>
    <d v="2024-07-29T00:00:00"/>
    <x v="3"/>
    <n v="6777"/>
    <n v="981"/>
    <n v="296820"/>
    <n v="23.920557909999999"/>
    <n v="53590"/>
    <n v="1.952698605215282E-2"/>
  </r>
  <r>
    <d v="2024-07-29T00:00:00"/>
    <x v="2"/>
    <n v="4036"/>
    <n v="591"/>
    <n v="300265"/>
    <n v="44.21927298"/>
    <n v="12563"/>
    <n v="1.1473198674504187E-2"/>
  </r>
  <r>
    <d v="2024-07-29T00:00:00"/>
    <x v="1"/>
    <n v="6947"/>
    <n v="908"/>
    <n v="306304"/>
    <n v="14.11767394"/>
    <n v="46060"/>
    <n v="1.9715707271207691E-2"/>
  </r>
  <r>
    <d v="2024-08-05T00:00:00"/>
    <x v="0"/>
    <n v="3494"/>
    <n v="281"/>
    <n v="309517"/>
    <n v="27.765518530000001"/>
    <n v="39197"/>
    <n v="1.0380689913639638E-2"/>
  </r>
  <r>
    <d v="2024-08-05T00:00:00"/>
    <x v="1"/>
    <n v="3719"/>
    <n v="222"/>
    <n v="313014"/>
    <n v="21.669318310000001"/>
    <n v="13586"/>
    <n v="1.1172024254506188E-2"/>
  </r>
  <r>
    <d v="2024-08-05T00:00:00"/>
    <x v="2"/>
    <n v="2884"/>
    <n v="341"/>
    <n v="315557"/>
    <n v="46.999749649999998"/>
    <n v="26087"/>
    <n v="8.058765928184131E-3"/>
  </r>
  <r>
    <d v="2024-08-05T00:00:00"/>
    <x v="3"/>
    <n v="5349"/>
    <n v="502"/>
    <n v="320404"/>
    <n v="5.2152906950000002"/>
    <n v="58868"/>
    <n v="1.5127776182569505E-2"/>
  </r>
  <r>
    <d v="2024-08-12T00:00:00"/>
    <x v="1"/>
    <n v="6179"/>
    <n v="384"/>
    <n v="326199"/>
    <n v="14.71218489"/>
    <n v="33225"/>
    <n v="1.7765229200580015E-2"/>
  </r>
  <r>
    <d v="2024-08-12T00:00:00"/>
    <x v="0"/>
    <n v="7610"/>
    <n v="757"/>
    <n v="333052"/>
    <n v="44.450416150000002"/>
    <n v="39750"/>
    <n v="2.0576366453286574E-2"/>
  </r>
  <r>
    <d v="2024-08-12T00:00:00"/>
    <x v="2"/>
    <n v="7430"/>
    <n v="397"/>
    <n v="340085"/>
    <n v="28.065042559999998"/>
    <n v="16643"/>
    <n v="2.0680124086625402E-2"/>
  </r>
  <r>
    <d v="2024-08-12T00:00:00"/>
    <x v="1"/>
    <n v="8154"/>
    <n v="1149"/>
    <n v="347090"/>
    <n v="26.003918290000001"/>
    <n v="37523"/>
    <n v="2.0182085338096747E-2"/>
  </r>
  <r>
    <d v="2024-08-19T00:00:00"/>
    <x v="0"/>
    <n v="7488"/>
    <n v="568"/>
    <n v="354010"/>
    <n v="13.4773029"/>
    <n v="46727"/>
    <n v="1.9547470410440384E-2"/>
  </r>
  <r>
    <d v="2024-08-19T00:00:00"/>
    <x v="2"/>
    <n v="5737"/>
    <n v="666"/>
    <n v="359081"/>
    <n v="4.6034181700000003"/>
    <n v="21005"/>
    <n v="1.4122161852061233E-2"/>
  </r>
  <r>
    <d v="2024-08-19T00:00:00"/>
    <x v="0"/>
    <n v="7525"/>
    <n v="610"/>
    <n v="365996"/>
    <n v="5.7694619610000002"/>
    <n v="53543"/>
    <n v="1.8893649110919244E-2"/>
  </r>
  <r>
    <d v="2024-08-19T00:00:00"/>
    <x v="2"/>
    <n v="4850"/>
    <n v="494"/>
    <n v="370352"/>
    <n v="20.46539508"/>
    <n v="10161"/>
    <n v="1.176178338445587E-2"/>
  </r>
  <r>
    <d v="2024-08-26T00:00:00"/>
    <x v="3"/>
    <n v="1689"/>
    <n v="176"/>
    <n v="371865"/>
    <n v="38.012181839999997"/>
    <n v="26029"/>
    <n v="4.068680838476329E-3"/>
  </r>
  <r>
    <d v="2024-08-26T00:00:00"/>
    <x v="1"/>
    <n v="6175"/>
    <n v="422"/>
    <n v="377618"/>
    <n v="37.861012979999998"/>
    <n v="59745"/>
    <n v="1.523497290913039E-2"/>
  </r>
  <r>
    <d v="2024-08-26T00:00:00"/>
    <x v="0"/>
    <n v="9648"/>
    <n v="1417"/>
    <n v="385849"/>
    <n v="3.6633501709999998"/>
    <n v="24226"/>
    <n v="2.1332179168534842E-2"/>
  </r>
  <r>
    <d v="2024-08-26T00:00:00"/>
    <x v="2"/>
    <n v="6078"/>
    <n v="775"/>
    <n v="391152"/>
    <n v="37.760512540000001"/>
    <n v="38731"/>
    <n v="1.3557389454738823E-2"/>
  </r>
  <r>
    <d v="2024-09-02T00:00:00"/>
    <x v="0"/>
    <n v="6448"/>
    <n v="928"/>
    <n v="396672"/>
    <n v="30.11858664"/>
    <n v="53922"/>
    <n v="1.3915779283639884E-2"/>
  </r>
  <r>
    <d v="2024-09-02T00:00:00"/>
    <x v="0"/>
    <n v="2179"/>
    <n v="303"/>
    <n v="398548"/>
    <n v="33.909842730000001"/>
    <n v="54848"/>
    <n v="4.7070867248110645E-3"/>
  </r>
  <r>
    <d v="2024-09-02T00:00:00"/>
    <x v="1"/>
    <n v="7406"/>
    <n v="813"/>
    <n v="405141"/>
    <n v="24.45741112"/>
    <n v="13390"/>
    <n v="1.6273346810122897E-2"/>
  </r>
  <r>
    <d v="2024-09-02T00:00:00"/>
    <x v="3"/>
    <n v="9591"/>
    <n v="1363"/>
    <n v="413369"/>
    <n v="10.49425574"/>
    <n v="15997"/>
    <n v="1.9904734026983156E-2"/>
  </r>
  <r>
    <d v="2024-09-09T00:00:00"/>
    <x v="0"/>
    <n v="7907"/>
    <n v="465"/>
    <n v="420811"/>
    <n v="33.257448119999999"/>
    <n v="22693"/>
    <n v="1.76848989213685E-2"/>
  </r>
  <r>
    <d v="2024-09-09T00:00:00"/>
    <x v="2"/>
    <n v="9800"/>
    <n v="682"/>
    <n v="429929"/>
    <n v="6.2966210699999996"/>
    <n v="59815"/>
    <n v="2.1208152974095722E-2"/>
  </r>
  <r>
    <d v="2024-09-09T00:00:00"/>
    <x v="2"/>
    <n v="2638"/>
    <n v="143"/>
    <n v="432424"/>
    <n v="6.9547481180000004"/>
    <n v="52092"/>
    <n v="5.7698000111002165E-3"/>
  </r>
  <r>
    <d v="2024-09-09T00:00:00"/>
    <x v="3"/>
    <n v="6671"/>
    <n v="550"/>
    <n v="438545"/>
    <n v="17.750287879999998"/>
    <n v="10541"/>
    <n v="1.3957518612685129E-2"/>
  </r>
  <r>
    <d v="2024-09-16T00:00:00"/>
    <x v="2"/>
    <n v="7928"/>
    <n v="704"/>
    <n v="445769"/>
    <n v="11.194362999999999"/>
    <n v="31817"/>
    <n v="1.6205702953772022E-2"/>
  </r>
  <r>
    <d v="2024-09-16T00:00:00"/>
    <x v="3"/>
    <n v="2382"/>
    <n v="183"/>
    <n v="447968"/>
    <n v="4.7335970429999996"/>
    <n v="47861"/>
    <n v="4.9088327737695546E-3"/>
  </r>
  <r>
    <d v="2024-09-16T00:00:00"/>
    <x v="2"/>
    <n v="2403"/>
    <n v="319"/>
    <n v="450052"/>
    <n v="29.921209099999999"/>
    <n v="23428"/>
    <n v="4.6305760223263092E-3"/>
  </r>
  <r>
    <d v="2024-09-16T00:00:00"/>
    <x v="1"/>
    <n v="4292"/>
    <n v="367"/>
    <n v="453977"/>
    <n v="3.5037017289999999"/>
    <n v="53934"/>
    <n v="8.6458124530537899E-3"/>
  </r>
  <r>
    <d v="2024-09-23T00:00:00"/>
    <x v="0"/>
    <n v="1419"/>
    <n v="110"/>
    <n v="455286"/>
    <n v="31.554451490000002"/>
    <n v="58831"/>
    <n v="2.8751158612388694E-3"/>
  </r>
  <r>
    <d v="2024-09-23T00:00:00"/>
    <x v="1"/>
    <n v="5517"/>
    <n v="575"/>
    <n v="460228"/>
    <n v="29.458442340000001"/>
    <n v="20258"/>
    <n v="1.07381558705685E-2"/>
  </r>
  <r>
    <d v="2024-09-23T00:00:00"/>
    <x v="0"/>
    <n v="4302"/>
    <n v="275"/>
    <n v="464255"/>
    <n v="15.72131695"/>
    <n v="26044"/>
    <n v="8.6741122874282456E-3"/>
  </r>
  <r>
    <d v="2024-09-23T00:00:00"/>
    <x v="0"/>
    <n v="8857"/>
    <n v="1153"/>
    <n v="471959"/>
    <n v="19.214592790000001"/>
    <n v="39411"/>
    <n v="1.6323451825264481E-2"/>
  </r>
  <r>
    <d v="2024-09-30T00:00:00"/>
    <x v="0"/>
    <n v="8870"/>
    <n v="509"/>
    <n v="480320"/>
    <n v="25.077864760000001"/>
    <n v="15469"/>
    <n v="1.7407145236508995E-2"/>
  </r>
  <r>
    <d v="2024-09-30T00:00:00"/>
    <x v="1"/>
    <n v="6693"/>
    <n v="995"/>
    <n v="486018"/>
    <n v="23.761877129999998"/>
    <n v="38854"/>
    <n v="1.1723845618886543E-2"/>
  </r>
  <r>
    <d v="2024-09-30T00:00:00"/>
    <x v="0"/>
    <n v="1767"/>
    <n v="224"/>
    <n v="487561"/>
    <n v="13.20860364"/>
    <n v="16256"/>
    <n v="3.1647322078673231E-3"/>
  </r>
  <r>
    <d v="2024-09-30T00:00:00"/>
    <x v="1"/>
    <n v="3044"/>
    <n v="212"/>
    <n v="490393"/>
    <n v="8.5343795690000004"/>
    <n v="20720"/>
    <n v="5.7749600830354431E-3"/>
  </r>
  <r>
    <d v="2024-10-07T00:00:00"/>
    <x v="3"/>
    <n v="2549"/>
    <n v="128"/>
    <n v="492814"/>
    <n v="12.73421615"/>
    <n v="43937"/>
    <n v="4.9126039438814641E-3"/>
  </r>
  <r>
    <d v="2024-10-07T00:00:00"/>
    <x v="2"/>
    <n v="7140"/>
    <n v="939"/>
    <n v="499015"/>
    <n v="25.120888149999999"/>
    <n v="43598"/>
    <n v="1.2426480165926877E-2"/>
  </r>
  <r>
    <d v="2024-10-07T00:00:00"/>
    <x v="2"/>
    <n v="4716"/>
    <n v="569"/>
    <n v="503162"/>
    <n v="25.64820078"/>
    <n v="11651"/>
    <n v="8.2418783612434963E-3"/>
  </r>
  <r>
    <d v="2024-10-07T00:00:00"/>
    <x v="0"/>
    <n v="5481"/>
    <n v="673"/>
    <n v="507970"/>
    <n v="13.087583909999999"/>
    <n v="29194"/>
    <n v="9.4651258932614123E-3"/>
  </r>
  <r>
    <d v="2024-10-14T00:00:00"/>
    <x v="1"/>
    <n v="8898"/>
    <n v="1131"/>
    <n v="515737"/>
    <n v="2.1877429780000002"/>
    <n v="35051"/>
    <n v="1.5060001512398761E-2"/>
  </r>
  <r>
    <d v="2024-10-14T00:00:00"/>
    <x v="2"/>
    <n v="7548"/>
    <n v="433"/>
    <n v="522852"/>
    <n v="8.3562843789999999"/>
    <n v="37386"/>
    <n v="1.3608057347012157E-2"/>
  </r>
  <r>
    <d v="2024-10-14T00:00:00"/>
    <x v="1"/>
    <n v="3293"/>
    <n v="282"/>
    <n v="525863"/>
    <n v="27.040693109999999"/>
    <n v="19518"/>
    <n v="5.7258259280458983E-3"/>
  </r>
  <r>
    <d v="2024-10-14T00:00:00"/>
    <x v="1"/>
    <n v="5837"/>
    <n v="359"/>
    <n v="531341"/>
    <n v="6.8073045370000003"/>
    <n v="56026"/>
    <n v="1.0309763409938251E-2"/>
  </r>
  <r>
    <d v="2024-10-21T00:00:00"/>
    <x v="0"/>
    <n v="8758"/>
    <n v="1193"/>
    <n v="538906"/>
    <n v="3.4213758990000001"/>
    <n v="26184"/>
    <n v="1.4037698596786824E-2"/>
  </r>
  <r>
    <d v="2024-10-21T00:00:00"/>
    <x v="2"/>
    <n v="7793"/>
    <n v="875"/>
    <n v="545824"/>
    <n v="5.5136820660000003"/>
    <n v="43787"/>
    <n v="1.267441519610717E-2"/>
  </r>
  <r>
    <d v="2024-10-21T00:00:00"/>
    <x v="0"/>
    <n v="8638"/>
    <n v="717"/>
    <n v="553745"/>
    <n v="26.921416900000001"/>
    <n v="31621"/>
    <n v="1.4304418098583283E-2"/>
  </r>
  <r>
    <d v="2024-10-21T00:00:00"/>
    <x v="0"/>
    <n v="8993"/>
    <n v="506"/>
    <n v="562232"/>
    <n v="3.5131404829999999"/>
    <n v="20028"/>
    <n v="1.509519202037593E-2"/>
  </r>
  <r>
    <d v="2024-10-28T00:00:00"/>
    <x v="2"/>
    <n v="7007"/>
    <n v="568"/>
    <n v="568671"/>
    <n v="11.505070590000001"/>
    <n v="22448"/>
    <n v="1.1322891443382905E-2"/>
  </r>
  <r>
    <d v="2024-10-28T00:00:00"/>
    <x v="2"/>
    <n v="6542"/>
    <n v="539"/>
    <n v="574674"/>
    <n v="6.4069368019999997"/>
    <n v="55253"/>
    <n v="1.0445922383821088E-2"/>
  </r>
  <r>
    <d v="2024-10-28T00:00:00"/>
    <x v="3"/>
    <n v="7356"/>
    <n v="904"/>
    <n v="581126"/>
    <n v="17.560907619999998"/>
    <n v="44051"/>
    <n v="1.1102583604932494E-2"/>
  </r>
  <r>
    <d v="2024-10-28T00:00:00"/>
    <x v="3"/>
    <n v="9433"/>
    <n v="1073"/>
    <n v="589486"/>
    <n v="7.2934726190000001"/>
    <n v="59811"/>
    <n v="1.4181846557848703E-2"/>
  </r>
  <r>
    <d v="2024-11-04T00:00:00"/>
    <x v="1"/>
    <n v="8380"/>
    <n v="1162"/>
    <n v="596704"/>
    <n v="18.05853488"/>
    <n v="40447"/>
    <n v="1.2096449831072022E-2"/>
  </r>
  <r>
    <d v="2024-11-04T00:00:00"/>
    <x v="2"/>
    <n v="3385"/>
    <n v="329"/>
    <n v="599760"/>
    <n v="17.617880490000001"/>
    <n v="28394"/>
    <n v="5.0953714819261036E-3"/>
  </r>
  <r>
    <d v="2024-11-04T00:00:00"/>
    <x v="3"/>
    <n v="5268"/>
    <n v="326"/>
    <n v="604702"/>
    <n v="23.43584113"/>
    <n v="44501"/>
    <n v="8.1726205635172366E-3"/>
  </r>
  <r>
    <d v="2024-11-04T00:00:00"/>
    <x v="1"/>
    <n v="1671"/>
    <n v="202"/>
    <n v="606171"/>
    <n v="15.150015420000001"/>
    <n v="40254"/>
    <n v="2.4234085761278583E-3"/>
  </r>
  <r>
    <d v="2024-11-11T00:00:00"/>
    <x v="1"/>
    <n v="1163"/>
    <n v="146"/>
    <n v="607188"/>
    <n v="21.777768989999998"/>
    <n v="28509"/>
    <n v="1.6749342872388782E-3"/>
  </r>
  <r>
    <d v="2024-11-11T00:00:00"/>
    <x v="1"/>
    <n v="9656"/>
    <n v="1024"/>
    <n v="615820"/>
    <n v="8.7252768669999998"/>
    <n v="58998"/>
    <n v="1.401708291383846E-2"/>
  </r>
  <r>
    <d v="2024-11-11T00:00:00"/>
    <x v="3"/>
    <n v="5592"/>
    <n v="710"/>
    <n v="620702"/>
    <n v="9.0711806950000007"/>
    <n v="24472"/>
    <n v="7.8652880126050834E-3"/>
  </r>
  <r>
    <d v="2024-11-11T00:00:00"/>
    <x v="2"/>
    <n v="5795"/>
    <n v="575"/>
    <n v="625922"/>
    <n v="3.0908004509999998"/>
    <n v="55657"/>
    <n v="8.3396972785746461E-3"/>
  </r>
  <r>
    <d v="2024-11-18T00:00:00"/>
    <x v="0"/>
    <n v="5798"/>
    <n v="592"/>
    <n v="631128"/>
    <n v="1.677472716"/>
    <n v="13471"/>
    <n v="8.2487229214992831E-3"/>
  </r>
  <r>
    <d v="2024-11-18T00:00:00"/>
    <x v="1"/>
    <n v="7036"/>
    <n v="652"/>
    <n v="637512"/>
    <n v="3.570599455"/>
    <n v="51796"/>
    <n v="1.0013929149568949E-2"/>
  </r>
  <r>
    <d v="2024-11-18T00:00:00"/>
    <x v="3"/>
    <n v="3355"/>
    <n v="176"/>
    <n v="640691"/>
    <n v="12.426427090000001"/>
    <n v="40268"/>
    <n v="4.9618302738761748E-3"/>
  </r>
  <r>
    <d v="2024-11-18T00:00:00"/>
    <x v="3"/>
    <n v="6887"/>
    <n v="418"/>
    <n v="647160"/>
    <n v="20.240280609999999"/>
    <n v="18329"/>
    <n v="9.9959824463811114E-3"/>
  </r>
  <r>
    <d v="2024-11-25T00:00:00"/>
    <x v="0"/>
    <n v="8961"/>
    <n v="476"/>
    <n v="655645"/>
    <n v="15.458517949999999"/>
    <n v="44865"/>
    <n v="1.2941454598143812E-2"/>
  </r>
  <r>
    <d v="2024-11-25T00:00:00"/>
    <x v="0"/>
    <n v="6827"/>
    <n v="775"/>
    <n v="661697"/>
    <n v="15.96622019"/>
    <n v="56850"/>
    <n v="9.1461802003031598E-3"/>
  </r>
  <r>
    <d v="2024-11-25T00:00:00"/>
    <x v="3"/>
    <n v="9737"/>
    <n v="792"/>
    <n v="670642"/>
    <n v="5.3017854529999999"/>
    <n v="56698"/>
    <n v="1.3337965710468476E-2"/>
  </r>
  <r>
    <d v="2024-11-25T00:00:00"/>
    <x v="2"/>
    <n v="5719"/>
    <n v="576"/>
    <n v="675785"/>
    <n v="10.216562959999999"/>
    <n v="38272"/>
    <n v="7.6104086358827145E-3"/>
  </r>
  <r>
    <d v="2024-12-02T00:00:00"/>
    <x v="0"/>
    <n v="1593"/>
    <n v="224"/>
    <n v="677154"/>
    <n v="4.1495730660000003"/>
    <n v="52845"/>
    <n v="2.0216966893793729E-3"/>
  </r>
  <r>
    <d v="2024-12-02T00:00:00"/>
    <x v="3"/>
    <n v="5839"/>
    <n v="437"/>
    <n v="682556"/>
    <n v="17.447506140000002"/>
    <n v="16397"/>
    <n v="7.9143689309009082E-3"/>
  </r>
  <r>
    <d v="2024-12-02T00:00:00"/>
    <x v="0"/>
    <n v="8394"/>
    <n v="764"/>
    <n v="690186"/>
    <n v="6.3556780350000004"/>
    <n v="42373"/>
    <n v="1.1054990973447738E-2"/>
  </r>
  <r>
    <d v="2024-12-02T00:00:00"/>
    <x v="2"/>
    <n v="4493"/>
    <n v="564"/>
    <n v="694115"/>
    <n v="16.62548713"/>
    <n v="45525"/>
    <n v="5.660445315257558E-3"/>
  </r>
  <r>
    <d v="2024-12-09T00:00:00"/>
    <x v="1"/>
    <n v="7164"/>
    <n v="522"/>
    <n v="700757"/>
    <n v="13.44916997"/>
    <n v="34570"/>
    <n v="9.4783213011072308E-3"/>
  </r>
  <r>
    <d v="2024-12-09T00:00:00"/>
    <x v="0"/>
    <n v="3672"/>
    <n v="211"/>
    <n v="704218"/>
    <n v="12.35057894"/>
    <n v="28284"/>
    <n v="4.9146713091684675E-3"/>
  </r>
  <r>
    <d v="2024-12-09T00:00:00"/>
    <x v="2"/>
    <n v="5200"/>
    <n v="410"/>
    <n v="709008"/>
    <n v="12.91339449"/>
    <n v="28994"/>
    <n v="6.7559181278631555E-3"/>
  </r>
  <r>
    <d v="2024-12-09T00:00:00"/>
    <x v="3"/>
    <n v="1016"/>
    <n v="67"/>
    <n v="709957"/>
    <n v="20.774215900000002"/>
    <n v="33284"/>
    <n v="1.3367006734210664E-3"/>
  </r>
  <r>
    <d v="2024-12-16T00:00:00"/>
    <x v="0"/>
    <n v="4191"/>
    <n v="599"/>
    <n v="713549"/>
    <n v="11.564167279999999"/>
    <n v="27833"/>
    <n v="5.033992059410076E-3"/>
  </r>
  <r>
    <d v="2024-12-16T00:00:00"/>
    <x v="0"/>
    <n v="1392"/>
    <n v="182"/>
    <n v="714759"/>
    <n v="5.9603306849999997"/>
    <n v="35122"/>
    <n v="1.6928782988391892E-3"/>
  </r>
  <r>
    <d v="2024-12-16T00:00:00"/>
    <x v="3"/>
    <n v="9616"/>
    <n v="1089"/>
    <n v="723286"/>
    <n v="19.258633509999999"/>
    <n v="15017"/>
    <n v="1.178925072516266E-2"/>
  </r>
  <r>
    <d v="2024-12-16T00:00:00"/>
    <x v="1"/>
    <n v="7272"/>
    <n v="997"/>
    <n v="729561"/>
    <n v="13.428486449999999"/>
    <n v="26370"/>
    <n v="8.6010628309353167E-3"/>
  </r>
  <r>
    <d v="2024-12-23T00:00:00"/>
    <x v="3"/>
    <n v="1571"/>
    <n v="204"/>
    <n v="730928"/>
    <n v="19.449384890000001"/>
    <n v="39252"/>
    <n v="1.8702252479040344E-3"/>
  </r>
  <r>
    <d v="2024-12-23T00:00:00"/>
    <x v="0"/>
    <n v="4631"/>
    <n v="317"/>
    <n v="735242"/>
    <n v="1.381177898"/>
    <n v="17999"/>
    <n v="5.8674558852731479E-3"/>
  </r>
  <r>
    <d v="2024-12-23T00:00:00"/>
    <x v="3"/>
    <n v="7172"/>
    <n v="998"/>
    <n v="741416"/>
    <n v="18.066780319999999"/>
    <n v="32436"/>
    <n v="8.32730882527488E-3"/>
  </r>
  <r>
    <d v="2024-12-23T00:00:00"/>
    <x v="2"/>
    <n v="8177"/>
    <n v="849"/>
    <n v="748744"/>
    <n v="10.34986591"/>
    <n v="52963"/>
    <n v="9.7870567243276748E-3"/>
  </r>
  <r>
    <d v="2024-12-30T00:00:00"/>
    <x v="3"/>
    <n v="9433"/>
    <n v="1233"/>
    <n v="756944"/>
    <n v="11.391727789999999"/>
    <n v="12096"/>
    <n v="1.0833033883616226E-2"/>
  </r>
  <r>
    <d v="2024-12-30T00:00:00"/>
    <x v="0"/>
    <n v="4897"/>
    <n v="683"/>
    <n v="761158"/>
    <n v="15.062312950000001"/>
    <n v="58201"/>
    <n v="5.5363012672795921E-3"/>
  </r>
  <r>
    <d v="2024-12-30T00:00:00"/>
    <x v="3"/>
    <n v="9123"/>
    <n v="746"/>
    <n v="769535"/>
    <n v="6.3086149430000003"/>
    <n v="35279"/>
    <n v="1.0885794668208723E-2"/>
  </r>
  <r>
    <d v="2024-12-30T00:00:00"/>
    <x v="1"/>
    <n v="3279"/>
    <n v="200"/>
    <n v="772614"/>
    <n v="5.0212654700000003"/>
    <n v="53363"/>
    <n v="3.9851724146857288E-3"/>
  </r>
  <r>
    <d v="2025-01-06T00:00:00"/>
    <x v="3"/>
    <n v="9980"/>
    <n v="726"/>
    <n v="781868"/>
    <n v="4.0220344099999998"/>
    <n v="58709"/>
    <n v="1.1835757442432739E-2"/>
  </r>
  <r>
    <d v="2025-01-06T00:00:00"/>
    <x v="1"/>
    <n v="8451"/>
    <n v="783"/>
    <n v="789536"/>
    <n v="12.40728732"/>
    <n v="36201"/>
    <n v="9.7120333968305442E-3"/>
  </r>
  <r>
    <d v="2025-01-06T00:00:00"/>
    <x v="2"/>
    <n v="9906"/>
    <n v="1305"/>
    <n v="798137"/>
    <n v="9.1811305579999996"/>
    <n v="29715"/>
    <n v="1.0776345414383746E-2"/>
  </r>
  <r>
    <d v="2025-01-06T00:00:00"/>
    <x v="1"/>
    <n v="1775"/>
    <n v="241"/>
    <n v="799671"/>
    <n v="8.1379717409999994"/>
    <n v="39309"/>
    <n v="1.918288896308607E-3"/>
  </r>
  <r>
    <d v="2025-01-13T00:00:00"/>
    <x v="3"/>
    <n v="7869"/>
    <n v="398"/>
    <n v="807142"/>
    <n v="15.21194536"/>
    <n v="25078"/>
    <n v="9.2561160241940079E-3"/>
  </r>
  <r>
    <d v="2025-01-13T00:00:00"/>
    <x v="0"/>
    <n v="3247"/>
    <n v="328"/>
    <n v="810061"/>
    <n v="13.941172330000001"/>
    <n v="15105"/>
    <n v="3.6034323341081723E-3"/>
  </r>
  <r>
    <d v="2025-01-13T00:00:00"/>
    <x v="1"/>
    <n v="8088"/>
    <n v="742"/>
    <n v="817407"/>
    <n v="14.664542880000001"/>
    <n v="39312"/>
    <n v="8.9869550909155421E-3"/>
  </r>
  <r>
    <d v="2025-01-13T00:00:00"/>
    <x v="2"/>
    <n v="1078"/>
    <n v="77"/>
    <n v="818408"/>
    <n v="18.236747439999998"/>
    <n v="12839"/>
    <n v="1.2231063234963489E-3"/>
  </r>
  <r>
    <d v="2025-01-20T00:00:00"/>
    <x v="1"/>
    <n v="9080"/>
    <n v="562"/>
    <n v="826926"/>
    <n v="7.1083748729999998"/>
    <n v="13384"/>
    <n v="1.0300800797169276E-2"/>
  </r>
  <r>
    <d v="2025-01-20T00:00:00"/>
    <x v="1"/>
    <n v="8099"/>
    <n v="678"/>
    <n v="834347"/>
    <n v="7.6464588469999999"/>
    <n v="53619"/>
    <n v="8.8943808751035247E-3"/>
  </r>
  <r>
    <d v="2025-01-20T00:00:00"/>
    <x v="1"/>
    <n v="4926"/>
    <n v="710"/>
    <n v="838563"/>
    <n v="12.962174579999999"/>
    <n v="52821"/>
    <n v="5.0276484891415433E-3"/>
  </r>
  <r>
    <d v="2025-01-20T00:00:00"/>
    <x v="2"/>
    <n v="8340"/>
    <n v="686"/>
    <n v="846217"/>
    <n v="7.201344336"/>
    <n v="23493"/>
    <n v="9.0449612806171465E-3"/>
  </r>
  <r>
    <d v="2025-01-27T00:00:00"/>
    <x v="3"/>
    <n v="8083"/>
    <n v="823"/>
    <n v="853477"/>
    <n v="4.6300017459999996"/>
    <n v="27069"/>
    <n v="8.5063803711172073E-3"/>
  </r>
  <r>
    <d v="2025-01-27T00:00:00"/>
    <x v="1"/>
    <n v="7230"/>
    <n v="869"/>
    <n v="859838"/>
    <n v="7.0117859410000003"/>
    <n v="56907"/>
    <n v="7.397905186791E-3"/>
  </r>
  <r>
    <d v="2025-01-27T00:00:00"/>
    <x v="1"/>
    <n v="5940"/>
    <n v="512"/>
    <n v="865266"/>
    <n v="15.797223049999999"/>
    <n v="17531"/>
    <n v="6.2732154042803023E-3"/>
  </r>
  <r>
    <d v="2025-01-27T00:00:00"/>
    <x v="0"/>
    <n v="4271"/>
    <n v="628"/>
    <n v="868909"/>
    <n v="11.124410040000001"/>
    <n v="47051"/>
    <n v="4.1926139561219876E-3"/>
  </r>
  <r>
    <d v="2025-02-03T00:00:00"/>
    <x v="2"/>
    <n v="4456"/>
    <n v="651"/>
    <n v="872714"/>
    <n v="9.5052903929999992"/>
    <n v="17736"/>
    <n v="4.3599621410908961E-3"/>
  </r>
  <r>
    <d v="2025-02-03T00:00:00"/>
    <x v="1"/>
    <n v="8788"/>
    <n v="660"/>
    <n v="880842"/>
    <n v="3.7175793160000001"/>
    <n v="17710"/>
    <n v="9.2275345635199051E-3"/>
  </r>
  <r>
    <d v="2025-02-03T00:00:00"/>
    <x v="2"/>
    <n v="9599"/>
    <n v="957"/>
    <n v="889484"/>
    <n v="8.7680048209999999"/>
    <n v="11619"/>
    <n v="9.7157453085159485E-3"/>
  </r>
  <r>
    <d v="2025-02-03T00:00:00"/>
    <x v="1"/>
    <n v="8650"/>
    <n v="692"/>
    <n v="897442"/>
    <n v="7.6673478619999997"/>
    <n v="23975"/>
    <n v="8.8674254157928862E-3"/>
  </r>
  <r>
    <d v="2025-02-10T00:00:00"/>
    <x v="3"/>
    <n v="3711"/>
    <n v="291"/>
    <n v="900862"/>
    <n v="14.24879726"/>
    <n v="55603"/>
    <n v="3.7963639269943676E-3"/>
  </r>
  <r>
    <d v="2025-02-10T00:00:00"/>
    <x v="3"/>
    <n v="2668"/>
    <n v="143"/>
    <n v="903387"/>
    <n v="15.90337253"/>
    <n v="33252"/>
    <n v="2.795036900021807E-3"/>
  </r>
  <r>
    <d v="2025-02-10T00:00:00"/>
    <x v="1"/>
    <n v="1147"/>
    <n v="127"/>
    <n v="904407"/>
    <n v="1.399701683"/>
    <n v="25261"/>
    <n v="1.1278108196862695E-3"/>
  </r>
  <r>
    <d v="2025-02-10T00:00:00"/>
    <x v="3"/>
    <n v="7420"/>
    <n v="743"/>
    <n v="911084"/>
    <n v="10.59353473"/>
    <n v="11431"/>
    <n v="7.3286327056561193E-3"/>
  </r>
  <r>
    <d v="2025-02-17T00:00:00"/>
    <x v="1"/>
    <n v="1365"/>
    <n v="75"/>
    <n v="912374"/>
    <n v="9.2688963080000004"/>
    <n v="19067"/>
    <n v="1.4138938637006315E-3"/>
  </r>
  <r>
    <d v="2025-02-17T00:00:00"/>
    <x v="3"/>
    <n v="5531"/>
    <n v="430"/>
    <n v="917475"/>
    <n v="2.7289026949999999"/>
    <n v="47481"/>
    <n v="5.5598245183792472E-3"/>
  </r>
  <r>
    <d v="2025-02-17T00:00:00"/>
    <x v="0"/>
    <n v="6330"/>
    <n v="891"/>
    <n v="922914"/>
    <n v="14.789893749999999"/>
    <n v="37037"/>
    <n v="5.8932901657142486E-3"/>
  </r>
  <r>
    <d v="2025-02-17T00:00:00"/>
    <x v="0"/>
    <n v="6510"/>
    <n v="481"/>
    <n v="928943"/>
    <n v="2.3800168579999998"/>
    <n v="19557"/>
    <n v="6.4901721634158397E-3"/>
  </r>
  <r>
    <d v="2025-02-24T00:00:00"/>
    <x v="0"/>
    <n v="9754"/>
    <n v="629"/>
    <n v="938068"/>
    <n v="3.4123325809999998"/>
    <n v="19435"/>
    <n v="9.7274398018054129E-3"/>
  </r>
  <r>
    <d v="2025-02-24T00:00:00"/>
    <x v="2"/>
    <n v="9964"/>
    <n v="985"/>
    <n v="947047"/>
    <n v="1.9837452630000001"/>
    <n v="47766"/>
    <n v="9.4810500429228957E-3"/>
  </r>
  <r>
    <d v="2025-02-24T00:00:00"/>
    <x v="2"/>
    <n v="7493"/>
    <n v="1113"/>
    <n v="953427"/>
    <n v="15.6848925"/>
    <n v="10162"/>
    <n v="6.6916502259743013E-3"/>
  </r>
  <r>
    <d v="2025-02-24T00:00:00"/>
    <x v="0"/>
    <n v="6439"/>
    <n v="477"/>
    <n v="959389"/>
    <n v="7.4744446729999998"/>
    <n v="44742"/>
    <n v="6.2143718554204808E-3"/>
  </r>
  <r>
    <d v="2025-03-03T00:00:00"/>
    <x v="2"/>
    <n v="7511"/>
    <n v="880"/>
    <n v="966020"/>
    <n v="4.6083932010000002"/>
    <n v="29675"/>
    <n v="6.8642471170369144E-3"/>
  </r>
  <r>
    <d v="2025-03-03T00:00:00"/>
    <x v="3"/>
    <n v="8504"/>
    <n v="1072"/>
    <n v="973452"/>
    <n v="6.5651927370000003"/>
    <n v="18461"/>
    <n v="7.6346856342171983E-3"/>
  </r>
  <r>
    <d v="2025-03-03T00:00:00"/>
    <x v="1"/>
    <n v="2246"/>
    <n v="165"/>
    <n v="975533"/>
    <n v="2.9062061460000002"/>
    <n v="27015"/>
    <n v="2.1331928289458173E-3"/>
  </r>
  <r>
    <d v="2025-03-03T00:00:00"/>
    <x v="1"/>
    <n v="4839"/>
    <n v="594"/>
    <n v="979778"/>
    <n v="2.5803804540000002"/>
    <n v="42591"/>
    <n v="4.3326141227910814E-3"/>
  </r>
  <r>
    <d v="2025-03-10T00:00:00"/>
    <x v="1"/>
    <n v="9551"/>
    <n v="828"/>
    <n v="988501"/>
    <n v="1.5250363929999999"/>
    <n v="38047"/>
    <n v="8.8244726105487E-3"/>
  </r>
  <r>
    <d v="2025-03-10T00:00:00"/>
    <x v="0"/>
    <n v="3376"/>
    <n v="382"/>
    <n v="991495"/>
    <n v="3.869409326"/>
    <n v="44782"/>
    <n v="3.0196823988018094E-3"/>
  </r>
  <r>
    <d v="2025-03-10T00:00:00"/>
    <x v="2"/>
    <n v="4009"/>
    <n v="454"/>
    <n v="995050"/>
    <n v="2.110647706"/>
    <n v="19833"/>
    <n v="3.5726847897090599E-3"/>
  </r>
  <r>
    <d v="2025-03-10T00:00:00"/>
    <x v="3"/>
    <n v="2827"/>
    <n v="292"/>
    <n v="997585"/>
    <n v="2.4004972009999999"/>
    <n v="17896"/>
    <n v="2.5411368454818384E-3"/>
  </r>
  <r>
    <d v="2025-03-17T00:00:00"/>
    <x v="3"/>
    <n v="7979"/>
    <n v="470"/>
    <n v="1005094"/>
    <n v="10.430865170000001"/>
    <n v="42972"/>
    <n v="7.4709430162750948E-3"/>
  </r>
  <r>
    <d v="2025-03-17T00:00:00"/>
    <x v="0"/>
    <n v="9569"/>
    <n v="1277"/>
    <n v="1013386"/>
    <n v="12.455175029999999"/>
    <n v="59733"/>
    <n v="8.1824694637581338E-3"/>
  </r>
  <r>
    <d v="2025-03-17T00:00:00"/>
    <x v="3"/>
    <n v="5285"/>
    <n v="433"/>
    <n v="1018238"/>
    <n v="8.7022876769999993"/>
    <n v="51800"/>
    <n v="4.7650942117658151E-3"/>
  </r>
  <r>
    <d v="2025-03-17T00:00:00"/>
    <x v="3"/>
    <n v="7910"/>
    <n v="543"/>
    <n v="1025605"/>
    <n v="6.0590578239999999"/>
    <n v="40508"/>
    <n v="7.183077305590359E-3"/>
  </r>
  <r>
    <d v="2025-03-24T00:00:00"/>
    <x v="3"/>
    <n v="9561"/>
    <n v="517"/>
    <n v="1034649"/>
    <n v="6.4086467970000003"/>
    <n v="15347"/>
    <n v="8.741128633961856E-3"/>
  </r>
  <r>
    <d v="2025-03-24T00:00:00"/>
    <x v="3"/>
    <n v="3196"/>
    <n v="348"/>
    <n v="1037497"/>
    <n v="14.03040202"/>
    <n v="40314"/>
    <n v="2.7450681785103955E-3"/>
  </r>
  <r>
    <d v="2025-03-24T00:00:00"/>
    <x v="2"/>
    <n v="4747"/>
    <n v="558"/>
    <n v="1041686"/>
    <n v="5.768052945"/>
    <n v="12643"/>
    <n v="4.021365363458854E-3"/>
  </r>
  <r>
    <d v="2025-03-24T00:00:00"/>
    <x v="3"/>
    <n v="9843"/>
    <n v="508"/>
    <n v="1051021"/>
    <n v="4.2080986009999997"/>
    <n v="50785"/>
    <n v="8.8818396587699005E-3"/>
  </r>
  <r>
    <d v="2025-03-31T00:00:00"/>
    <x v="1"/>
    <n v="6978"/>
    <n v="706"/>
    <n v="1057293"/>
    <n v="5.057443868"/>
    <n v="28681"/>
    <n v="5.9321304501212058E-3"/>
  </r>
  <r>
    <d v="2025-03-31T00:00:00"/>
    <x v="0"/>
    <n v="6607"/>
    <n v="479"/>
    <n v="1063421"/>
    <n v="5.5892257159999996"/>
    <n v="48328"/>
    <n v="5.7625343114345116E-3"/>
  </r>
  <r>
    <d v="2025-03-31T00:00:00"/>
    <x v="2"/>
    <n v="1769"/>
    <n v="202"/>
    <n v="1064988"/>
    <n v="6.5457075570000001"/>
    <n v="25892"/>
    <n v="1.4713780812553757E-3"/>
  </r>
  <r>
    <d v="2025-03-31T00:00:00"/>
    <x v="3"/>
    <n v="1780"/>
    <n v="120"/>
    <n v="1066648"/>
    <n v="13.86474263"/>
    <n v="57299"/>
    <n v="1.55627723485161E-3"/>
  </r>
  <r>
    <d v="2025-04-07T00:00:00"/>
    <x v="2"/>
    <n v="7303"/>
    <n v="869"/>
    <n v="1073082"/>
    <n v="8.1237966900000007"/>
    <n v="27073"/>
    <n v="5.9958139266151145E-3"/>
  </r>
  <r>
    <d v="2025-04-07T00:00:00"/>
    <x v="3"/>
    <n v="4983"/>
    <n v="441"/>
    <n v="1077624"/>
    <n v="6.895447763"/>
    <n v="46768"/>
    <n v="4.2148281775461569E-3"/>
  </r>
  <r>
    <d v="2025-04-07T00:00:00"/>
    <x v="1"/>
    <n v="9714"/>
    <n v="1395"/>
    <n v="1085943"/>
    <n v="5.2243073530000004"/>
    <n v="40682"/>
    <n v="7.6606230713766746E-3"/>
  </r>
  <r>
    <d v="2025-04-07T00:00:00"/>
    <x v="0"/>
    <n v="1521"/>
    <n v="96"/>
    <n v="1087368"/>
    <n v="12.70977259"/>
    <n v="42262"/>
    <n v="1.3105038956452645E-3"/>
  </r>
  <r>
    <d v="2025-04-14T00:00:00"/>
    <x v="3"/>
    <n v="8569"/>
    <n v="720"/>
    <n v="1095217"/>
    <n v="9.5896977490000008"/>
    <n v="41358"/>
    <n v="7.1666162961312686E-3"/>
  </r>
  <r>
    <d v="2025-04-14T00:00:00"/>
    <x v="3"/>
    <n v="6784"/>
    <n v="416"/>
    <n v="1101585"/>
    <n v="9.3041390360000005"/>
    <n v="24289"/>
    <n v="5.7807613574985131E-3"/>
  </r>
  <r>
    <d v="2025-04-14T00:00:00"/>
    <x v="3"/>
    <n v="5583"/>
    <n v="795"/>
    <n v="1106373"/>
    <n v="12.215500560000001"/>
    <n v="59823"/>
    <n v="4.327654416729259E-3"/>
  </r>
  <r>
    <d v="2025-04-14T00:00:00"/>
    <x v="3"/>
    <n v="6946"/>
    <n v="956"/>
    <n v="1112363"/>
    <n v="1.6414605659999999"/>
    <n v="17927"/>
    <n v="5.3849327962185002E-3"/>
  </r>
  <r>
    <d v="2025-04-21T00:00:00"/>
    <x v="0"/>
    <n v="5941"/>
    <n v="450"/>
    <n v="1117854"/>
    <n v="12.414411899999999"/>
    <n v="58330"/>
    <n v="4.9120904876665469E-3"/>
  </r>
  <r>
    <d v="2025-04-21T00:00:00"/>
    <x v="0"/>
    <n v="7267"/>
    <n v="842"/>
    <n v="1124279"/>
    <n v="2.2102165029999998"/>
    <n v="11171"/>
    <n v="5.7147736460433753E-3"/>
  </r>
  <r>
    <d v="2025-04-21T00:00:00"/>
    <x v="1"/>
    <n v="8128"/>
    <n v="1070"/>
    <n v="1131337"/>
    <n v="8.1114645769999996"/>
    <n v="21918"/>
    <n v="6.2386362330587612E-3"/>
  </r>
  <r>
    <d v="2025-04-21T00:00:00"/>
    <x v="0"/>
    <n v="3461"/>
    <n v="365"/>
    <n v="1134433"/>
    <n v="10.234892670000001"/>
    <n v="51903"/>
    <n v="2.7291166600407427E-3"/>
  </r>
  <r>
    <d v="2025-04-28T00:00:00"/>
    <x v="3"/>
    <n v="1685"/>
    <n v="173"/>
    <n v="1135945"/>
    <n v="8.7776256769999996"/>
    <n v="49110"/>
    <n v="1.331050358952238E-3"/>
  </r>
  <r>
    <d v="2025-04-28T00:00:00"/>
    <x v="1"/>
    <n v="3160"/>
    <n v="234"/>
    <n v="1138871"/>
    <n v="5.6959041020000001"/>
    <n v="21929"/>
    <n v="2.5692110871204906E-3"/>
  </r>
  <r>
    <d v="2025-04-28T00:00:00"/>
    <x v="1"/>
    <n v="8031"/>
    <n v="476"/>
    <n v="1146426"/>
    <n v="11.940413080000001"/>
    <n v="12539"/>
    <n v="6.5900459340594159E-3"/>
  </r>
  <r>
    <d v="2025-04-28T00:00:00"/>
    <x v="1"/>
    <n v="6341"/>
    <n v="885"/>
    <n v="1151882"/>
    <n v="6.3457020770000003"/>
    <n v="46727"/>
    <n v="4.7365962832998515E-3"/>
  </r>
  <r>
    <d v="2025-05-05T00:00:00"/>
    <x v="3"/>
    <n v="1038"/>
    <n v="145"/>
    <n v="1152775"/>
    <n v="11.093752029999999"/>
    <n v="55951"/>
    <n v="7.7465246904209403E-4"/>
  </r>
  <r>
    <d v="2025-05-05T00:00:00"/>
    <x v="2"/>
    <n v="5875"/>
    <n v="665"/>
    <n v="1157985"/>
    <n v="6.9871371389999997"/>
    <n v="32669"/>
    <n v="4.4991947218659999E-3"/>
  </r>
  <r>
    <d v="2025-05-05T00:00:00"/>
    <x v="3"/>
    <n v="2256"/>
    <n v="189"/>
    <n v="1160052"/>
    <n v="2.8935771840000002"/>
    <n v="15432"/>
    <n v="1.7818166771834366E-3"/>
  </r>
  <r>
    <d v="2025-05-05T00:00:00"/>
    <x v="0"/>
    <n v="8697"/>
    <n v="738"/>
    <n v="1168011"/>
    <n v="3.8777032070000002"/>
    <n v="30644"/>
    <n v="6.8141481544266276E-3"/>
  </r>
  <r>
    <d v="2025-05-12T00:00:00"/>
    <x v="0"/>
    <n v="3196"/>
    <n v="391"/>
    <n v="1170816"/>
    <n v="7.243922188"/>
    <n v="28745"/>
    <n v="2.3957650049196456E-3"/>
  </r>
  <r>
    <d v="2025-05-12T00:00:00"/>
    <x v="3"/>
    <n v="8165"/>
    <n v="1140"/>
    <n v="1177841"/>
    <n v="9.0959645659999993"/>
    <n v="38228"/>
    <n v="5.9643024822535473E-3"/>
  </r>
  <r>
    <d v="2025-05-12T00:00:00"/>
    <x v="3"/>
    <n v="1301"/>
    <n v="180"/>
    <n v="1178962"/>
    <n v="5.2275645859999997"/>
    <n v="44521"/>
    <n v="9.5083641372665107E-4"/>
  </r>
  <r>
    <d v="2025-05-12T00:00:00"/>
    <x v="1"/>
    <n v="8527"/>
    <n v="1091"/>
    <n v="1186398"/>
    <n v="1.67608172"/>
    <n v="41703"/>
    <n v="6.267711172810473E-3"/>
  </r>
  <r>
    <m/>
    <x v="4"/>
    <m/>
    <m/>
    <m/>
    <m/>
    <m/>
    <m/>
  </r>
  <r>
    <m/>
    <x v="4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3">
  <r>
    <d v="2024-06-03T00:00:00"/>
    <x v="0"/>
    <n v="4138"/>
    <n v="361"/>
    <n v="103777"/>
    <x v="0"/>
    <n v="23944"/>
    <n v="3.6395347716738774E-2"/>
  </r>
  <r>
    <d v="2024-06-03T00:00:00"/>
    <x v="1"/>
    <n v="8693"/>
    <n v="1261"/>
    <n v="111209"/>
    <x v="1"/>
    <n v="29873"/>
    <n v="6.6829123542159363E-2"/>
  </r>
  <r>
    <d v="2024-06-03T00:00:00"/>
    <x v="2"/>
    <n v="9264"/>
    <n v="1141"/>
    <n v="119332"/>
    <x v="2"/>
    <n v="50372"/>
    <n v="6.8070592967519189E-2"/>
  </r>
  <r>
    <d v="2024-06-03T00:00:00"/>
    <x v="2"/>
    <n v="8842"/>
    <n v="971"/>
    <n v="127203"/>
    <x v="3"/>
    <n v="33928"/>
    <n v="6.1877471443283573E-2"/>
  </r>
  <r>
    <d v="2024-06-10T00:00:00"/>
    <x v="0"/>
    <n v="7721"/>
    <n v="506"/>
    <n v="134418"/>
    <x v="4"/>
    <n v="25379"/>
    <n v="5.3675846984778827E-2"/>
  </r>
  <r>
    <d v="2024-06-10T00:00:00"/>
    <x v="2"/>
    <n v="8002"/>
    <n v="524"/>
    <n v="141896"/>
    <x v="5"/>
    <n v="46751"/>
    <n v="5.270056943113266E-2"/>
  </r>
  <r>
    <d v="2024-06-10T00:00:00"/>
    <x v="1"/>
    <n v="5225"/>
    <n v="291"/>
    <n v="146830"/>
    <x v="6"/>
    <n v="44546"/>
    <n v="3.3603487025812166E-2"/>
  </r>
  <r>
    <d v="2024-06-10T00:00:00"/>
    <x v="1"/>
    <n v="3978"/>
    <n v="543"/>
    <n v="150265"/>
    <x v="7"/>
    <n v="34286"/>
    <n v="2.2859614680730708E-2"/>
  </r>
  <r>
    <d v="2024-06-17T00:00:00"/>
    <x v="0"/>
    <n v="8373"/>
    <n v="921"/>
    <n v="157717"/>
    <x v="8"/>
    <n v="15110"/>
    <n v="4.7249186834646864E-2"/>
  </r>
  <r>
    <d v="2024-06-17T00:00:00"/>
    <x v="1"/>
    <n v="6907"/>
    <n v="834"/>
    <n v="163790"/>
    <x v="9"/>
    <n v="22087"/>
    <n v="3.7077965687770928E-2"/>
  </r>
  <r>
    <d v="2024-06-17T00:00:00"/>
    <x v="3"/>
    <n v="7097"/>
    <n v="369"/>
    <n v="170518"/>
    <x v="10"/>
    <n v="33762"/>
    <n v="3.9456245088495059E-2"/>
  </r>
  <r>
    <d v="2024-06-17T00:00:00"/>
    <x v="0"/>
    <n v="6656"/>
    <n v="978"/>
    <n v="176196"/>
    <x v="11"/>
    <n v="27081"/>
    <n v="3.2225476174260484E-2"/>
  </r>
  <r>
    <d v="2024-06-24T00:00:00"/>
    <x v="1"/>
    <n v="9984"/>
    <n v="1330"/>
    <n v="184850"/>
    <x v="12"/>
    <n v="44947"/>
    <n v="4.6816337571003515E-2"/>
  </r>
  <r>
    <d v="2024-06-24T00:00:00"/>
    <x v="0"/>
    <n v="5259"/>
    <n v="374"/>
    <n v="189735"/>
    <x v="13"/>
    <n v="19596"/>
    <n v="2.5746435818378266E-2"/>
  </r>
  <r>
    <d v="2024-06-24T00:00:00"/>
    <x v="2"/>
    <n v="9286"/>
    <n v="633"/>
    <n v="198388"/>
    <x v="14"/>
    <n v="48019"/>
    <n v="4.3616549388067825E-2"/>
  </r>
  <r>
    <d v="2024-06-24T00:00:00"/>
    <x v="1"/>
    <n v="6901"/>
    <n v="471"/>
    <n v="204818"/>
    <x v="15"/>
    <n v="52003"/>
    <n v="3.1393725160874533E-2"/>
  </r>
  <r>
    <d v="2024-07-01T00:00:00"/>
    <x v="3"/>
    <n v="5917"/>
    <n v="475"/>
    <n v="210260"/>
    <x v="16"/>
    <n v="28313"/>
    <n v="2.5882241034909159E-2"/>
  </r>
  <r>
    <d v="2024-07-01T00:00:00"/>
    <x v="1"/>
    <n v="9429"/>
    <n v="966"/>
    <n v="218723"/>
    <x v="17"/>
    <n v="57639"/>
    <n v="3.8692775794040866E-2"/>
  </r>
  <r>
    <d v="2024-07-01T00:00:00"/>
    <x v="0"/>
    <n v="3530"/>
    <n v="328"/>
    <n v="221925"/>
    <x v="18"/>
    <n v="11013"/>
    <n v="1.4428297848372199E-2"/>
  </r>
  <r>
    <d v="2024-07-01T00:00:00"/>
    <x v="0"/>
    <n v="2960"/>
    <n v="234"/>
    <n v="224651"/>
    <x v="19"/>
    <n v="59378"/>
    <n v="1.213437732304775E-2"/>
  </r>
  <r>
    <d v="2024-07-08T00:00:00"/>
    <x v="1"/>
    <n v="8045"/>
    <n v="894"/>
    <n v="231802"/>
    <x v="20"/>
    <n v="33705"/>
    <n v="3.084960440375838E-2"/>
  </r>
  <r>
    <d v="2024-07-08T00:00:00"/>
    <x v="3"/>
    <n v="2048"/>
    <n v="130"/>
    <n v="233720"/>
    <x v="21"/>
    <n v="11828"/>
    <n v="8.2064008214958063E-3"/>
  </r>
  <r>
    <d v="2024-07-08T00:00:00"/>
    <x v="3"/>
    <n v="6772"/>
    <n v="536"/>
    <n v="239956"/>
    <x v="22"/>
    <n v="17909"/>
    <n v="2.5988097817933289E-2"/>
  </r>
  <r>
    <d v="2024-07-08T00:00:00"/>
    <x v="3"/>
    <n v="3529"/>
    <n v="305"/>
    <n v="243180"/>
    <x v="23"/>
    <n v="48356"/>
    <n v="1.3257669216218439E-2"/>
  </r>
  <r>
    <d v="2024-07-15T00:00:00"/>
    <x v="0"/>
    <n v="3964"/>
    <n v="378"/>
    <n v="246766"/>
    <x v="24"/>
    <n v="23109"/>
    <n v="1.453198576789347E-2"/>
  </r>
  <r>
    <d v="2024-07-15T00:00:00"/>
    <x v="1"/>
    <n v="8137"/>
    <n v="1045"/>
    <n v="253858"/>
    <x v="25"/>
    <n v="12023"/>
    <n v="2.7936878097203948E-2"/>
  </r>
  <r>
    <d v="2024-07-15T00:00:00"/>
    <x v="2"/>
    <n v="1963"/>
    <n v="137"/>
    <n v="255684"/>
    <x v="26"/>
    <n v="24537"/>
    <n v="7.1416279469970747E-3"/>
  </r>
  <r>
    <d v="2024-07-15T00:00:00"/>
    <x v="0"/>
    <n v="1536"/>
    <n v="155"/>
    <n v="257065"/>
    <x v="27"/>
    <n v="36661"/>
    <n v="5.3721821329235798E-3"/>
  </r>
  <r>
    <d v="2024-07-22T00:00:00"/>
    <x v="3"/>
    <n v="8340"/>
    <n v="911"/>
    <n v="264494"/>
    <x v="28"/>
    <n v="48659"/>
    <n v="2.8087593669421613E-2"/>
  </r>
  <r>
    <d v="2024-07-22T00:00:00"/>
    <x v="1"/>
    <n v="8179"/>
    <n v="446"/>
    <n v="272227"/>
    <x v="29"/>
    <n v="43848"/>
    <n v="2.8406440213498294E-2"/>
  </r>
  <r>
    <d v="2024-07-22T00:00:00"/>
    <x v="3"/>
    <n v="8967"/>
    <n v="993"/>
    <n v="280201"/>
    <x v="30"/>
    <n v="47804"/>
    <n v="2.8458142547671136E-2"/>
  </r>
  <r>
    <d v="2024-07-22T00:00:00"/>
    <x v="2"/>
    <n v="9734"/>
    <n v="652"/>
    <n v="289283"/>
    <x v="31"/>
    <n v="25379"/>
    <n v="3.1394862470314533E-2"/>
  </r>
  <r>
    <d v="2024-07-29T00:00:00"/>
    <x v="3"/>
    <n v="1845"/>
    <n v="104"/>
    <n v="291024"/>
    <x v="32"/>
    <n v="37766"/>
    <n v="5.9823244818296775E-3"/>
  </r>
  <r>
    <d v="2024-07-29T00:00:00"/>
    <x v="3"/>
    <n v="6777"/>
    <n v="981"/>
    <n v="296820"/>
    <x v="33"/>
    <n v="53590"/>
    <n v="1.952698605215282E-2"/>
  </r>
  <r>
    <d v="2024-07-29T00:00:00"/>
    <x v="2"/>
    <n v="4036"/>
    <n v="591"/>
    <n v="300265"/>
    <x v="34"/>
    <n v="12563"/>
    <n v="1.1473198674504187E-2"/>
  </r>
  <r>
    <d v="2024-07-29T00:00:00"/>
    <x v="1"/>
    <n v="6947"/>
    <n v="908"/>
    <n v="306304"/>
    <x v="35"/>
    <n v="46060"/>
    <n v="1.9715707271207691E-2"/>
  </r>
  <r>
    <d v="2024-08-05T00:00:00"/>
    <x v="0"/>
    <n v="3494"/>
    <n v="281"/>
    <n v="309517"/>
    <x v="36"/>
    <n v="39197"/>
    <n v="1.0380689913639638E-2"/>
  </r>
  <r>
    <d v="2024-08-05T00:00:00"/>
    <x v="1"/>
    <n v="3719"/>
    <n v="222"/>
    <n v="313014"/>
    <x v="37"/>
    <n v="13586"/>
    <n v="1.1172024254506188E-2"/>
  </r>
  <r>
    <d v="2024-08-05T00:00:00"/>
    <x v="2"/>
    <n v="2884"/>
    <n v="341"/>
    <n v="315557"/>
    <x v="38"/>
    <n v="26087"/>
    <n v="8.058765928184131E-3"/>
  </r>
  <r>
    <d v="2024-08-05T00:00:00"/>
    <x v="3"/>
    <n v="5349"/>
    <n v="502"/>
    <n v="320404"/>
    <x v="39"/>
    <n v="58868"/>
    <n v="1.5127776182569505E-2"/>
  </r>
  <r>
    <d v="2024-08-12T00:00:00"/>
    <x v="1"/>
    <n v="6179"/>
    <n v="384"/>
    <n v="326199"/>
    <x v="40"/>
    <n v="33225"/>
    <n v="1.7765229200580015E-2"/>
  </r>
  <r>
    <d v="2024-08-12T00:00:00"/>
    <x v="0"/>
    <n v="7610"/>
    <n v="757"/>
    <n v="333052"/>
    <x v="41"/>
    <n v="39750"/>
    <n v="2.0576366453286574E-2"/>
  </r>
  <r>
    <d v="2024-08-12T00:00:00"/>
    <x v="2"/>
    <n v="7430"/>
    <n v="397"/>
    <n v="340085"/>
    <x v="42"/>
    <n v="16643"/>
    <n v="2.0680124086625402E-2"/>
  </r>
  <r>
    <d v="2024-08-12T00:00:00"/>
    <x v="1"/>
    <n v="8154"/>
    <n v="1149"/>
    <n v="347090"/>
    <x v="43"/>
    <n v="37523"/>
    <n v="2.0182085338096747E-2"/>
  </r>
  <r>
    <d v="2024-08-19T00:00:00"/>
    <x v="0"/>
    <n v="7488"/>
    <n v="568"/>
    <n v="354010"/>
    <x v="44"/>
    <n v="46727"/>
    <n v="1.9547470410440384E-2"/>
  </r>
  <r>
    <d v="2024-08-19T00:00:00"/>
    <x v="2"/>
    <n v="5737"/>
    <n v="666"/>
    <n v="359081"/>
    <x v="45"/>
    <n v="21005"/>
    <n v="1.4122161852061233E-2"/>
  </r>
  <r>
    <d v="2024-08-19T00:00:00"/>
    <x v="0"/>
    <n v="7525"/>
    <n v="610"/>
    <n v="365996"/>
    <x v="46"/>
    <n v="53543"/>
    <n v="1.8893649110919244E-2"/>
  </r>
  <r>
    <d v="2024-08-19T00:00:00"/>
    <x v="2"/>
    <n v="4850"/>
    <n v="494"/>
    <n v="370352"/>
    <x v="47"/>
    <n v="10161"/>
    <n v="1.176178338445587E-2"/>
  </r>
  <r>
    <d v="2024-08-26T00:00:00"/>
    <x v="3"/>
    <n v="1689"/>
    <n v="176"/>
    <n v="371865"/>
    <x v="48"/>
    <n v="26029"/>
    <n v="4.068680838476329E-3"/>
  </r>
  <r>
    <d v="2024-08-26T00:00:00"/>
    <x v="1"/>
    <n v="6175"/>
    <n v="422"/>
    <n v="377618"/>
    <x v="49"/>
    <n v="59745"/>
    <n v="1.523497290913039E-2"/>
  </r>
  <r>
    <d v="2024-08-26T00:00:00"/>
    <x v="0"/>
    <n v="9648"/>
    <n v="1417"/>
    <n v="385849"/>
    <x v="50"/>
    <n v="24226"/>
    <n v="2.1332179168534842E-2"/>
  </r>
  <r>
    <d v="2024-08-26T00:00:00"/>
    <x v="2"/>
    <n v="6078"/>
    <n v="775"/>
    <n v="391152"/>
    <x v="51"/>
    <n v="38731"/>
    <n v="1.3557389454738823E-2"/>
  </r>
  <r>
    <d v="2024-09-02T00:00:00"/>
    <x v="0"/>
    <n v="6448"/>
    <n v="928"/>
    <n v="396672"/>
    <x v="52"/>
    <n v="53922"/>
    <n v="1.3915779283639884E-2"/>
  </r>
  <r>
    <d v="2024-09-02T00:00:00"/>
    <x v="0"/>
    <n v="2179"/>
    <n v="303"/>
    <n v="398548"/>
    <x v="53"/>
    <n v="54848"/>
    <n v="4.7070867248110645E-3"/>
  </r>
  <r>
    <d v="2024-09-02T00:00:00"/>
    <x v="1"/>
    <n v="7406"/>
    <n v="813"/>
    <n v="405141"/>
    <x v="54"/>
    <n v="13390"/>
    <n v="1.6273346810122897E-2"/>
  </r>
  <r>
    <d v="2024-09-02T00:00:00"/>
    <x v="3"/>
    <n v="9591"/>
    <n v="1363"/>
    <n v="413369"/>
    <x v="55"/>
    <n v="15997"/>
    <n v="1.9904734026983156E-2"/>
  </r>
  <r>
    <d v="2024-09-09T00:00:00"/>
    <x v="0"/>
    <n v="7907"/>
    <n v="465"/>
    <n v="420811"/>
    <x v="56"/>
    <n v="22693"/>
    <n v="1.76848989213685E-2"/>
  </r>
  <r>
    <d v="2024-09-09T00:00:00"/>
    <x v="2"/>
    <n v="9800"/>
    <n v="682"/>
    <n v="429929"/>
    <x v="57"/>
    <n v="59815"/>
    <n v="2.1208152974095722E-2"/>
  </r>
  <r>
    <d v="2024-09-09T00:00:00"/>
    <x v="2"/>
    <n v="2638"/>
    <n v="143"/>
    <n v="432424"/>
    <x v="58"/>
    <n v="52092"/>
    <n v="5.7698000111002165E-3"/>
  </r>
  <r>
    <d v="2024-09-09T00:00:00"/>
    <x v="3"/>
    <n v="6671"/>
    <n v="550"/>
    <n v="438545"/>
    <x v="59"/>
    <n v="10541"/>
    <n v="1.3957518612685129E-2"/>
  </r>
  <r>
    <d v="2024-09-16T00:00:00"/>
    <x v="2"/>
    <n v="7928"/>
    <n v="704"/>
    <n v="445769"/>
    <x v="60"/>
    <n v="31817"/>
    <n v="1.6205702953772022E-2"/>
  </r>
  <r>
    <d v="2024-09-16T00:00:00"/>
    <x v="3"/>
    <n v="2382"/>
    <n v="183"/>
    <n v="447968"/>
    <x v="61"/>
    <n v="47861"/>
    <n v="4.9088327737695546E-3"/>
  </r>
  <r>
    <d v="2024-09-16T00:00:00"/>
    <x v="2"/>
    <n v="2403"/>
    <n v="319"/>
    <n v="450052"/>
    <x v="62"/>
    <n v="23428"/>
    <n v="4.6305760223263092E-3"/>
  </r>
  <r>
    <d v="2024-09-16T00:00:00"/>
    <x v="1"/>
    <n v="4292"/>
    <n v="367"/>
    <n v="453977"/>
    <x v="63"/>
    <n v="53934"/>
    <n v="8.6458124530537899E-3"/>
  </r>
  <r>
    <d v="2024-09-23T00:00:00"/>
    <x v="0"/>
    <n v="1419"/>
    <n v="110"/>
    <n v="455286"/>
    <x v="64"/>
    <n v="58831"/>
    <n v="2.8751158612388694E-3"/>
  </r>
  <r>
    <d v="2024-09-23T00:00:00"/>
    <x v="1"/>
    <n v="5517"/>
    <n v="575"/>
    <n v="460228"/>
    <x v="65"/>
    <n v="20258"/>
    <n v="1.07381558705685E-2"/>
  </r>
  <r>
    <d v="2024-09-23T00:00:00"/>
    <x v="0"/>
    <n v="4302"/>
    <n v="275"/>
    <n v="464255"/>
    <x v="66"/>
    <n v="26044"/>
    <n v="8.6741122874282456E-3"/>
  </r>
  <r>
    <d v="2024-09-23T00:00:00"/>
    <x v="0"/>
    <n v="8857"/>
    <n v="1153"/>
    <n v="471959"/>
    <x v="67"/>
    <n v="39411"/>
    <n v="1.6323451825264481E-2"/>
  </r>
  <r>
    <d v="2024-09-30T00:00:00"/>
    <x v="0"/>
    <n v="8870"/>
    <n v="509"/>
    <n v="480320"/>
    <x v="68"/>
    <n v="15469"/>
    <n v="1.7407145236508995E-2"/>
  </r>
  <r>
    <d v="2024-09-30T00:00:00"/>
    <x v="1"/>
    <n v="6693"/>
    <n v="995"/>
    <n v="486018"/>
    <x v="69"/>
    <n v="38854"/>
    <n v="1.1723845618886543E-2"/>
  </r>
  <r>
    <d v="2024-09-30T00:00:00"/>
    <x v="0"/>
    <n v="1767"/>
    <n v="224"/>
    <n v="487561"/>
    <x v="70"/>
    <n v="16256"/>
    <n v="3.1647322078673231E-3"/>
  </r>
  <r>
    <d v="2024-09-30T00:00:00"/>
    <x v="1"/>
    <n v="3044"/>
    <n v="212"/>
    <n v="490393"/>
    <x v="71"/>
    <n v="20720"/>
    <n v="5.7749600830354431E-3"/>
  </r>
  <r>
    <d v="2024-10-07T00:00:00"/>
    <x v="3"/>
    <n v="2549"/>
    <n v="128"/>
    <n v="492814"/>
    <x v="72"/>
    <n v="43937"/>
    <n v="4.9126039438814641E-3"/>
  </r>
  <r>
    <d v="2024-10-07T00:00:00"/>
    <x v="2"/>
    <n v="7140"/>
    <n v="939"/>
    <n v="499015"/>
    <x v="73"/>
    <n v="43598"/>
    <n v="1.2426480165926877E-2"/>
  </r>
  <r>
    <d v="2024-10-07T00:00:00"/>
    <x v="2"/>
    <n v="4716"/>
    <n v="569"/>
    <n v="503162"/>
    <x v="74"/>
    <n v="11651"/>
    <n v="8.2418783612434963E-3"/>
  </r>
  <r>
    <d v="2024-10-07T00:00:00"/>
    <x v="0"/>
    <n v="5481"/>
    <n v="673"/>
    <n v="507970"/>
    <x v="75"/>
    <n v="29194"/>
    <n v="9.4651258932614123E-3"/>
  </r>
  <r>
    <d v="2024-10-14T00:00:00"/>
    <x v="1"/>
    <n v="8898"/>
    <n v="1131"/>
    <n v="515737"/>
    <x v="76"/>
    <n v="35051"/>
    <n v="1.5060001512398761E-2"/>
  </r>
  <r>
    <d v="2024-10-14T00:00:00"/>
    <x v="2"/>
    <n v="7548"/>
    <n v="433"/>
    <n v="522852"/>
    <x v="77"/>
    <n v="37386"/>
    <n v="1.3608057347012157E-2"/>
  </r>
  <r>
    <d v="2024-10-14T00:00:00"/>
    <x v="1"/>
    <n v="3293"/>
    <n v="282"/>
    <n v="525863"/>
    <x v="78"/>
    <n v="19518"/>
    <n v="5.7258259280458983E-3"/>
  </r>
  <r>
    <d v="2024-10-14T00:00:00"/>
    <x v="1"/>
    <n v="5837"/>
    <n v="359"/>
    <n v="531341"/>
    <x v="79"/>
    <n v="56026"/>
    <n v="1.0309763409938251E-2"/>
  </r>
  <r>
    <d v="2024-10-21T00:00:00"/>
    <x v="0"/>
    <n v="8758"/>
    <n v="1193"/>
    <n v="538906"/>
    <x v="80"/>
    <n v="26184"/>
    <n v="1.4037698596786824E-2"/>
  </r>
  <r>
    <d v="2024-10-21T00:00:00"/>
    <x v="2"/>
    <n v="7793"/>
    <n v="875"/>
    <n v="545824"/>
    <x v="81"/>
    <n v="43787"/>
    <n v="1.267441519610717E-2"/>
  </r>
  <r>
    <d v="2024-10-21T00:00:00"/>
    <x v="0"/>
    <n v="8638"/>
    <n v="717"/>
    <n v="553745"/>
    <x v="82"/>
    <n v="31621"/>
    <n v="1.4304418098583283E-2"/>
  </r>
  <r>
    <d v="2024-10-21T00:00:00"/>
    <x v="0"/>
    <n v="8993"/>
    <n v="506"/>
    <n v="562232"/>
    <x v="83"/>
    <n v="20028"/>
    <n v="1.509519202037593E-2"/>
  </r>
  <r>
    <d v="2024-10-28T00:00:00"/>
    <x v="2"/>
    <n v="7007"/>
    <n v="568"/>
    <n v="568671"/>
    <x v="84"/>
    <n v="22448"/>
    <n v="1.1322891443382905E-2"/>
  </r>
  <r>
    <d v="2024-10-28T00:00:00"/>
    <x v="2"/>
    <n v="6542"/>
    <n v="539"/>
    <n v="574674"/>
    <x v="85"/>
    <n v="55253"/>
    <n v="1.0445922383821088E-2"/>
  </r>
  <r>
    <d v="2024-10-28T00:00:00"/>
    <x v="3"/>
    <n v="7356"/>
    <n v="904"/>
    <n v="581126"/>
    <x v="86"/>
    <n v="44051"/>
    <n v="1.1102583604932494E-2"/>
  </r>
  <r>
    <d v="2024-10-28T00:00:00"/>
    <x v="3"/>
    <n v="9433"/>
    <n v="1073"/>
    <n v="589486"/>
    <x v="87"/>
    <n v="59811"/>
    <n v="1.4181846557848703E-2"/>
  </r>
  <r>
    <d v="2024-11-04T00:00:00"/>
    <x v="1"/>
    <n v="8380"/>
    <n v="1162"/>
    <n v="596704"/>
    <x v="88"/>
    <n v="40447"/>
    <n v="1.2096449831072022E-2"/>
  </r>
  <r>
    <d v="2024-11-04T00:00:00"/>
    <x v="2"/>
    <n v="3385"/>
    <n v="329"/>
    <n v="599760"/>
    <x v="89"/>
    <n v="28394"/>
    <n v="5.0953714819261036E-3"/>
  </r>
  <r>
    <d v="2024-11-04T00:00:00"/>
    <x v="3"/>
    <n v="5268"/>
    <n v="326"/>
    <n v="604702"/>
    <x v="90"/>
    <n v="44501"/>
    <n v="8.1726205635172366E-3"/>
  </r>
  <r>
    <d v="2024-11-04T00:00:00"/>
    <x v="1"/>
    <n v="1671"/>
    <n v="202"/>
    <n v="606171"/>
    <x v="91"/>
    <n v="40254"/>
    <n v="2.4234085761278583E-3"/>
  </r>
  <r>
    <d v="2024-11-11T00:00:00"/>
    <x v="1"/>
    <n v="1163"/>
    <n v="146"/>
    <n v="607188"/>
    <x v="92"/>
    <n v="28509"/>
    <n v="1.6749342872388782E-3"/>
  </r>
  <r>
    <d v="2024-11-11T00:00:00"/>
    <x v="1"/>
    <n v="9656"/>
    <n v="1024"/>
    <n v="615820"/>
    <x v="93"/>
    <n v="58998"/>
    <n v="1.401708291383846E-2"/>
  </r>
  <r>
    <d v="2024-11-11T00:00:00"/>
    <x v="3"/>
    <n v="5592"/>
    <n v="710"/>
    <n v="620702"/>
    <x v="94"/>
    <n v="24472"/>
    <n v="7.8652880126050834E-3"/>
  </r>
  <r>
    <d v="2024-11-11T00:00:00"/>
    <x v="2"/>
    <n v="5795"/>
    <n v="575"/>
    <n v="625922"/>
    <x v="95"/>
    <n v="55657"/>
    <n v="8.3396972785746461E-3"/>
  </r>
  <r>
    <d v="2024-11-18T00:00:00"/>
    <x v="0"/>
    <n v="5798"/>
    <n v="592"/>
    <n v="631128"/>
    <x v="96"/>
    <n v="13471"/>
    <n v="8.2487229214992831E-3"/>
  </r>
  <r>
    <d v="2024-11-18T00:00:00"/>
    <x v="1"/>
    <n v="7036"/>
    <n v="652"/>
    <n v="637512"/>
    <x v="97"/>
    <n v="51796"/>
    <n v="1.0013929149568949E-2"/>
  </r>
  <r>
    <d v="2024-11-18T00:00:00"/>
    <x v="3"/>
    <n v="3355"/>
    <n v="176"/>
    <n v="640691"/>
    <x v="98"/>
    <n v="40268"/>
    <n v="4.9618302738761748E-3"/>
  </r>
  <r>
    <d v="2024-11-18T00:00:00"/>
    <x v="3"/>
    <n v="6887"/>
    <n v="418"/>
    <n v="647160"/>
    <x v="99"/>
    <n v="18329"/>
    <n v="9.9959824463811114E-3"/>
  </r>
  <r>
    <d v="2024-11-25T00:00:00"/>
    <x v="0"/>
    <n v="8961"/>
    <n v="476"/>
    <n v="655645"/>
    <x v="100"/>
    <n v="44865"/>
    <n v="1.2941454598143812E-2"/>
  </r>
  <r>
    <d v="2024-11-25T00:00:00"/>
    <x v="0"/>
    <n v="6827"/>
    <n v="775"/>
    <n v="661697"/>
    <x v="101"/>
    <n v="56850"/>
    <n v="9.1461802003031598E-3"/>
  </r>
  <r>
    <d v="2024-11-25T00:00:00"/>
    <x v="3"/>
    <n v="9737"/>
    <n v="792"/>
    <n v="670642"/>
    <x v="102"/>
    <n v="56698"/>
    <n v="1.3337965710468476E-2"/>
  </r>
  <r>
    <d v="2024-11-25T00:00:00"/>
    <x v="2"/>
    <n v="5719"/>
    <n v="576"/>
    <n v="675785"/>
    <x v="103"/>
    <n v="38272"/>
    <n v="7.6104086358827145E-3"/>
  </r>
  <r>
    <d v="2024-12-02T00:00:00"/>
    <x v="0"/>
    <n v="1593"/>
    <n v="224"/>
    <n v="677154"/>
    <x v="104"/>
    <n v="52845"/>
    <n v="2.0216966893793729E-3"/>
  </r>
  <r>
    <d v="2024-12-02T00:00:00"/>
    <x v="3"/>
    <n v="5839"/>
    <n v="437"/>
    <n v="682556"/>
    <x v="105"/>
    <n v="16397"/>
    <n v="7.9143689309009082E-3"/>
  </r>
  <r>
    <d v="2024-12-02T00:00:00"/>
    <x v="0"/>
    <n v="8394"/>
    <n v="764"/>
    <n v="690186"/>
    <x v="106"/>
    <n v="42373"/>
    <n v="1.1054990973447738E-2"/>
  </r>
  <r>
    <d v="2024-12-02T00:00:00"/>
    <x v="2"/>
    <n v="4493"/>
    <n v="564"/>
    <n v="694115"/>
    <x v="107"/>
    <n v="45525"/>
    <n v="5.660445315257558E-3"/>
  </r>
  <r>
    <d v="2024-12-09T00:00:00"/>
    <x v="1"/>
    <n v="7164"/>
    <n v="522"/>
    <n v="700757"/>
    <x v="108"/>
    <n v="34570"/>
    <n v="9.4783213011072308E-3"/>
  </r>
  <r>
    <d v="2024-12-09T00:00:00"/>
    <x v="0"/>
    <n v="3672"/>
    <n v="211"/>
    <n v="704218"/>
    <x v="109"/>
    <n v="28284"/>
    <n v="4.9146713091684675E-3"/>
  </r>
  <r>
    <d v="2024-12-09T00:00:00"/>
    <x v="2"/>
    <n v="5200"/>
    <n v="410"/>
    <n v="709008"/>
    <x v="110"/>
    <n v="28994"/>
    <n v="6.7559181278631555E-3"/>
  </r>
  <r>
    <d v="2024-12-09T00:00:00"/>
    <x v="3"/>
    <n v="1016"/>
    <n v="67"/>
    <n v="709957"/>
    <x v="111"/>
    <n v="33284"/>
    <n v="1.3367006734210664E-3"/>
  </r>
  <r>
    <d v="2024-12-16T00:00:00"/>
    <x v="0"/>
    <n v="4191"/>
    <n v="599"/>
    <n v="713549"/>
    <x v="112"/>
    <n v="27833"/>
    <n v="5.033992059410076E-3"/>
  </r>
  <r>
    <d v="2024-12-16T00:00:00"/>
    <x v="0"/>
    <n v="1392"/>
    <n v="182"/>
    <n v="714759"/>
    <x v="113"/>
    <n v="35122"/>
    <n v="1.6928782988391892E-3"/>
  </r>
  <r>
    <d v="2024-12-16T00:00:00"/>
    <x v="3"/>
    <n v="9616"/>
    <n v="1089"/>
    <n v="723286"/>
    <x v="114"/>
    <n v="15017"/>
    <n v="1.178925072516266E-2"/>
  </r>
  <r>
    <d v="2024-12-16T00:00:00"/>
    <x v="1"/>
    <n v="7272"/>
    <n v="997"/>
    <n v="729561"/>
    <x v="115"/>
    <n v="26370"/>
    <n v="8.6010628309353167E-3"/>
  </r>
  <r>
    <d v="2024-12-23T00:00:00"/>
    <x v="3"/>
    <n v="1571"/>
    <n v="204"/>
    <n v="730928"/>
    <x v="116"/>
    <n v="39252"/>
    <n v="1.8702252479040344E-3"/>
  </r>
  <r>
    <d v="2024-12-23T00:00:00"/>
    <x v="0"/>
    <n v="4631"/>
    <n v="317"/>
    <n v="735242"/>
    <x v="117"/>
    <n v="17999"/>
    <n v="5.8674558852731479E-3"/>
  </r>
  <r>
    <d v="2024-12-23T00:00:00"/>
    <x v="3"/>
    <n v="7172"/>
    <n v="998"/>
    <n v="741416"/>
    <x v="118"/>
    <n v="32436"/>
    <n v="8.32730882527488E-3"/>
  </r>
  <r>
    <d v="2024-12-23T00:00:00"/>
    <x v="2"/>
    <n v="8177"/>
    <n v="849"/>
    <n v="748744"/>
    <x v="119"/>
    <n v="52963"/>
    <n v="9.7870567243276748E-3"/>
  </r>
  <r>
    <d v="2024-12-30T00:00:00"/>
    <x v="3"/>
    <n v="9433"/>
    <n v="1233"/>
    <n v="756944"/>
    <x v="120"/>
    <n v="12096"/>
    <n v="1.0833033883616226E-2"/>
  </r>
  <r>
    <d v="2024-12-30T00:00:00"/>
    <x v="0"/>
    <n v="4897"/>
    <n v="683"/>
    <n v="761158"/>
    <x v="121"/>
    <n v="58201"/>
    <n v="5.5363012672795921E-3"/>
  </r>
  <r>
    <d v="2024-12-30T00:00:00"/>
    <x v="3"/>
    <n v="9123"/>
    <n v="746"/>
    <n v="769535"/>
    <x v="122"/>
    <n v="35279"/>
    <n v="1.0885794668208723E-2"/>
  </r>
  <r>
    <d v="2024-12-30T00:00:00"/>
    <x v="1"/>
    <n v="3279"/>
    <n v="200"/>
    <n v="772614"/>
    <x v="123"/>
    <n v="53363"/>
    <n v="3.9851724146857288E-3"/>
  </r>
  <r>
    <d v="2025-01-06T00:00:00"/>
    <x v="3"/>
    <n v="9980"/>
    <n v="726"/>
    <n v="781868"/>
    <x v="124"/>
    <n v="58709"/>
    <n v="1.1835757442432739E-2"/>
  </r>
  <r>
    <d v="2025-01-06T00:00:00"/>
    <x v="1"/>
    <n v="8451"/>
    <n v="783"/>
    <n v="789536"/>
    <x v="125"/>
    <n v="36201"/>
    <n v="9.7120333968305442E-3"/>
  </r>
  <r>
    <d v="2025-01-06T00:00:00"/>
    <x v="2"/>
    <n v="9906"/>
    <n v="1305"/>
    <n v="798137"/>
    <x v="126"/>
    <n v="29715"/>
    <n v="1.0776345414383746E-2"/>
  </r>
  <r>
    <d v="2025-01-06T00:00:00"/>
    <x v="1"/>
    <n v="1775"/>
    <n v="241"/>
    <n v="799671"/>
    <x v="127"/>
    <n v="39309"/>
    <n v="1.918288896308607E-3"/>
  </r>
  <r>
    <d v="2025-01-13T00:00:00"/>
    <x v="3"/>
    <n v="7869"/>
    <n v="398"/>
    <n v="807142"/>
    <x v="128"/>
    <n v="25078"/>
    <n v="9.2561160241940079E-3"/>
  </r>
  <r>
    <d v="2025-01-13T00:00:00"/>
    <x v="0"/>
    <n v="3247"/>
    <n v="328"/>
    <n v="810061"/>
    <x v="129"/>
    <n v="15105"/>
    <n v="3.6034323341081723E-3"/>
  </r>
  <r>
    <d v="2025-01-13T00:00:00"/>
    <x v="1"/>
    <n v="8088"/>
    <n v="742"/>
    <n v="817407"/>
    <x v="130"/>
    <n v="39312"/>
    <n v="8.9869550909155421E-3"/>
  </r>
  <r>
    <d v="2025-01-13T00:00:00"/>
    <x v="2"/>
    <n v="1078"/>
    <n v="77"/>
    <n v="818408"/>
    <x v="131"/>
    <n v="12839"/>
    <n v="1.2231063234963489E-3"/>
  </r>
  <r>
    <d v="2025-01-20T00:00:00"/>
    <x v="1"/>
    <n v="9080"/>
    <n v="562"/>
    <n v="826926"/>
    <x v="132"/>
    <n v="13384"/>
    <n v="1.0300800797169276E-2"/>
  </r>
  <r>
    <d v="2025-01-20T00:00:00"/>
    <x v="1"/>
    <n v="8099"/>
    <n v="678"/>
    <n v="834347"/>
    <x v="133"/>
    <n v="53619"/>
    <n v="8.8943808751035247E-3"/>
  </r>
  <r>
    <d v="2025-01-20T00:00:00"/>
    <x v="1"/>
    <n v="4926"/>
    <n v="710"/>
    <n v="838563"/>
    <x v="134"/>
    <n v="52821"/>
    <n v="5.0276484891415433E-3"/>
  </r>
  <r>
    <d v="2025-01-20T00:00:00"/>
    <x v="2"/>
    <n v="8340"/>
    <n v="686"/>
    <n v="846217"/>
    <x v="135"/>
    <n v="23493"/>
    <n v="9.0449612806171465E-3"/>
  </r>
  <r>
    <d v="2025-01-27T00:00:00"/>
    <x v="3"/>
    <n v="8083"/>
    <n v="823"/>
    <n v="853477"/>
    <x v="136"/>
    <n v="27069"/>
    <n v="8.5063803711172073E-3"/>
  </r>
  <r>
    <d v="2025-01-27T00:00:00"/>
    <x v="1"/>
    <n v="7230"/>
    <n v="869"/>
    <n v="859838"/>
    <x v="137"/>
    <n v="56907"/>
    <n v="7.397905186791E-3"/>
  </r>
  <r>
    <d v="2025-01-27T00:00:00"/>
    <x v="1"/>
    <n v="5940"/>
    <n v="512"/>
    <n v="865266"/>
    <x v="138"/>
    <n v="17531"/>
    <n v="6.2732154042803023E-3"/>
  </r>
  <r>
    <d v="2025-01-27T00:00:00"/>
    <x v="0"/>
    <n v="4271"/>
    <n v="628"/>
    <n v="868909"/>
    <x v="139"/>
    <n v="47051"/>
    <n v="4.1926139561219876E-3"/>
  </r>
  <r>
    <d v="2025-02-03T00:00:00"/>
    <x v="2"/>
    <n v="4456"/>
    <n v="651"/>
    <n v="872714"/>
    <x v="140"/>
    <n v="17736"/>
    <n v="4.3599621410908961E-3"/>
  </r>
  <r>
    <d v="2025-02-03T00:00:00"/>
    <x v="1"/>
    <n v="8788"/>
    <n v="660"/>
    <n v="880842"/>
    <x v="141"/>
    <n v="17710"/>
    <n v="9.2275345635199051E-3"/>
  </r>
  <r>
    <d v="2025-02-03T00:00:00"/>
    <x v="2"/>
    <n v="9599"/>
    <n v="957"/>
    <n v="889484"/>
    <x v="142"/>
    <n v="11619"/>
    <n v="9.7157453085159485E-3"/>
  </r>
  <r>
    <d v="2025-02-03T00:00:00"/>
    <x v="1"/>
    <n v="8650"/>
    <n v="692"/>
    <n v="897442"/>
    <x v="143"/>
    <n v="23975"/>
    <n v="8.8674254157928862E-3"/>
  </r>
  <r>
    <d v="2025-02-10T00:00:00"/>
    <x v="3"/>
    <n v="3711"/>
    <n v="291"/>
    <n v="900862"/>
    <x v="144"/>
    <n v="55603"/>
    <n v="3.7963639269943676E-3"/>
  </r>
  <r>
    <d v="2025-02-10T00:00:00"/>
    <x v="3"/>
    <n v="2668"/>
    <n v="143"/>
    <n v="903387"/>
    <x v="145"/>
    <n v="33252"/>
    <n v="2.795036900021807E-3"/>
  </r>
  <r>
    <d v="2025-02-10T00:00:00"/>
    <x v="1"/>
    <n v="1147"/>
    <n v="127"/>
    <n v="904407"/>
    <x v="146"/>
    <n v="25261"/>
    <n v="1.1278108196862695E-3"/>
  </r>
  <r>
    <d v="2025-02-10T00:00:00"/>
    <x v="3"/>
    <n v="7420"/>
    <n v="743"/>
    <n v="911084"/>
    <x v="147"/>
    <n v="11431"/>
    <n v="7.3286327056561193E-3"/>
  </r>
  <r>
    <d v="2025-02-17T00:00:00"/>
    <x v="1"/>
    <n v="1365"/>
    <n v="75"/>
    <n v="912374"/>
    <x v="148"/>
    <n v="19067"/>
    <n v="1.4138938637006315E-3"/>
  </r>
  <r>
    <d v="2025-02-17T00:00:00"/>
    <x v="3"/>
    <n v="5531"/>
    <n v="430"/>
    <n v="917475"/>
    <x v="149"/>
    <n v="47481"/>
    <n v="5.5598245183792472E-3"/>
  </r>
  <r>
    <d v="2025-02-17T00:00:00"/>
    <x v="0"/>
    <n v="6330"/>
    <n v="891"/>
    <n v="922914"/>
    <x v="150"/>
    <n v="37037"/>
    <n v="5.8932901657142486E-3"/>
  </r>
  <r>
    <d v="2025-02-17T00:00:00"/>
    <x v="0"/>
    <n v="6510"/>
    <n v="481"/>
    <n v="928943"/>
    <x v="151"/>
    <n v="19557"/>
    <n v="6.4901721634158397E-3"/>
  </r>
  <r>
    <d v="2025-02-24T00:00:00"/>
    <x v="0"/>
    <n v="9754"/>
    <n v="629"/>
    <n v="938068"/>
    <x v="152"/>
    <n v="19435"/>
    <n v="9.7274398018054129E-3"/>
  </r>
  <r>
    <d v="2025-02-24T00:00:00"/>
    <x v="2"/>
    <n v="9964"/>
    <n v="985"/>
    <n v="947047"/>
    <x v="153"/>
    <n v="47766"/>
    <n v="9.4810500429228957E-3"/>
  </r>
  <r>
    <d v="2025-02-24T00:00:00"/>
    <x v="2"/>
    <n v="7493"/>
    <n v="1113"/>
    <n v="953427"/>
    <x v="154"/>
    <n v="10162"/>
    <n v="6.6916502259743013E-3"/>
  </r>
  <r>
    <d v="2025-02-24T00:00:00"/>
    <x v="0"/>
    <n v="6439"/>
    <n v="477"/>
    <n v="959389"/>
    <x v="155"/>
    <n v="44742"/>
    <n v="6.2143718554204808E-3"/>
  </r>
  <r>
    <d v="2025-03-03T00:00:00"/>
    <x v="2"/>
    <n v="7511"/>
    <n v="880"/>
    <n v="966020"/>
    <x v="156"/>
    <n v="29675"/>
    <n v="6.8642471170369144E-3"/>
  </r>
  <r>
    <d v="2025-03-03T00:00:00"/>
    <x v="3"/>
    <n v="8504"/>
    <n v="1072"/>
    <n v="973452"/>
    <x v="157"/>
    <n v="18461"/>
    <n v="7.6346856342171983E-3"/>
  </r>
  <r>
    <d v="2025-03-03T00:00:00"/>
    <x v="1"/>
    <n v="2246"/>
    <n v="165"/>
    <n v="975533"/>
    <x v="158"/>
    <n v="27015"/>
    <n v="2.1331928289458173E-3"/>
  </r>
  <r>
    <d v="2025-03-03T00:00:00"/>
    <x v="1"/>
    <n v="4839"/>
    <n v="594"/>
    <n v="979778"/>
    <x v="159"/>
    <n v="42591"/>
    <n v="4.3326141227910814E-3"/>
  </r>
  <r>
    <d v="2025-03-10T00:00:00"/>
    <x v="1"/>
    <n v="9551"/>
    <n v="828"/>
    <n v="988501"/>
    <x v="160"/>
    <n v="38047"/>
    <n v="8.8244726105487E-3"/>
  </r>
  <r>
    <d v="2025-03-10T00:00:00"/>
    <x v="0"/>
    <n v="3376"/>
    <n v="382"/>
    <n v="991495"/>
    <x v="161"/>
    <n v="44782"/>
    <n v="3.0196823988018094E-3"/>
  </r>
  <r>
    <d v="2025-03-10T00:00:00"/>
    <x v="2"/>
    <n v="4009"/>
    <n v="454"/>
    <n v="995050"/>
    <x v="162"/>
    <n v="19833"/>
    <n v="3.5726847897090599E-3"/>
  </r>
  <r>
    <d v="2025-03-10T00:00:00"/>
    <x v="3"/>
    <n v="2827"/>
    <n v="292"/>
    <n v="997585"/>
    <x v="163"/>
    <n v="17896"/>
    <n v="2.5411368454818384E-3"/>
  </r>
  <r>
    <d v="2025-03-17T00:00:00"/>
    <x v="3"/>
    <n v="7979"/>
    <n v="470"/>
    <n v="1005094"/>
    <x v="164"/>
    <n v="42972"/>
    <n v="7.4709430162750948E-3"/>
  </r>
  <r>
    <d v="2025-03-17T00:00:00"/>
    <x v="0"/>
    <n v="9569"/>
    <n v="1277"/>
    <n v="1013386"/>
    <x v="165"/>
    <n v="59733"/>
    <n v="8.1824694637581338E-3"/>
  </r>
  <r>
    <d v="2025-03-17T00:00:00"/>
    <x v="3"/>
    <n v="5285"/>
    <n v="433"/>
    <n v="1018238"/>
    <x v="166"/>
    <n v="51800"/>
    <n v="4.7650942117658151E-3"/>
  </r>
  <r>
    <d v="2025-03-17T00:00:00"/>
    <x v="3"/>
    <n v="7910"/>
    <n v="543"/>
    <n v="1025605"/>
    <x v="167"/>
    <n v="40508"/>
    <n v="7.183077305590359E-3"/>
  </r>
  <r>
    <d v="2025-03-24T00:00:00"/>
    <x v="3"/>
    <n v="9561"/>
    <n v="517"/>
    <n v="1034649"/>
    <x v="168"/>
    <n v="15347"/>
    <n v="8.741128633961856E-3"/>
  </r>
  <r>
    <d v="2025-03-24T00:00:00"/>
    <x v="3"/>
    <n v="3196"/>
    <n v="348"/>
    <n v="1037497"/>
    <x v="169"/>
    <n v="40314"/>
    <n v="2.7450681785103955E-3"/>
  </r>
  <r>
    <d v="2025-03-24T00:00:00"/>
    <x v="2"/>
    <n v="4747"/>
    <n v="558"/>
    <n v="1041686"/>
    <x v="170"/>
    <n v="12643"/>
    <n v="4.021365363458854E-3"/>
  </r>
  <r>
    <d v="2025-03-24T00:00:00"/>
    <x v="3"/>
    <n v="9843"/>
    <n v="508"/>
    <n v="1051021"/>
    <x v="171"/>
    <n v="50785"/>
    <n v="8.8818396587699005E-3"/>
  </r>
  <r>
    <d v="2025-03-31T00:00:00"/>
    <x v="1"/>
    <n v="6978"/>
    <n v="706"/>
    <n v="1057293"/>
    <x v="172"/>
    <n v="28681"/>
    <n v="5.9321304501212058E-3"/>
  </r>
  <r>
    <d v="2025-03-31T00:00:00"/>
    <x v="0"/>
    <n v="6607"/>
    <n v="479"/>
    <n v="1063421"/>
    <x v="173"/>
    <n v="48328"/>
    <n v="5.7625343114345116E-3"/>
  </r>
  <r>
    <d v="2025-03-31T00:00:00"/>
    <x v="2"/>
    <n v="1769"/>
    <n v="202"/>
    <n v="1064988"/>
    <x v="174"/>
    <n v="25892"/>
    <n v="1.4713780812553757E-3"/>
  </r>
  <r>
    <d v="2025-03-31T00:00:00"/>
    <x v="3"/>
    <n v="1780"/>
    <n v="120"/>
    <n v="1066648"/>
    <x v="175"/>
    <n v="57299"/>
    <n v="1.55627723485161E-3"/>
  </r>
  <r>
    <d v="2025-04-07T00:00:00"/>
    <x v="2"/>
    <n v="7303"/>
    <n v="869"/>
    <n v="1073082"/>
    <x v="176"/>
    <n v="27073"/>
    <n v="5.9958139266151145E-3"/>
  </r>
  <r>
    <d v="2025-04-07T00:00:00"/>
    <x v="3"/>
    <n v="4983"/>
    <n v="441"/>
    <n v="1077624"/>
    <x v="177"/>
    <n v="46768"/>
    <n v="4.2148281775461569E-3"/>
  </r>
  <r>
    <d v="2025-04-07T00:00:00"/>
    <x v="1"/>
    <n v="9714"/>
    <n v="1395"/>
    <n v="1085943"/>
    <x v="178"/>
    <n v="40682"/>
    <n v="7.6606230713766746E-3"/>
  </r>
  <r>
    <d v="2025-04-07T00:00:00"/>
    <x v="0"/>
    <n v="1521"/>
    <n v="96"/>
    <n v="1087368"/>
    <x v="179"/>
    <n v="42262"/>
    <n v="1.3105038956452645E-3"/>
  </r>
  <r>
    <d v="2025-04-14T00:00:00"/>
    <x v="3"/>
    <n v="8569"/>
    <n v="720"/>
    <n v="1095217"/>
    <x v="180"/>
    <n v="41358"/>
    <n v="7.1666162961312686E-3"/>
  </r>
  <r>
    <d v="2025-04-14T00:00:00"/>
    <x v="3"/>
    <n v="6784"/>
    <n v="416"/>
    <n v="1101585"/>
    <x v="181"/>
    <n v="24289"/>
    <n v="5.7807613574985131E-3"/>
  </r>
  <r>
    <d v="2025-04-14T00:00:00"/>
    <x v="3"/>
    <n v="5583"/>
    <n v="795"/>
    <n v="1106373"/>
    <x v="182"/>
    <n v="59823"/>
    <n v="4.327654416729259E-3"/>
  </r>
  <r>
    <d v="2025-04-14T00:00:00"/>
    <x v="3"/>
    <n v="6946"/>
    <n v="956"/>
    <n v="1112363"/>
    <x v="183"/>
    <n v="17927"/>
    <n v="5.3849327962185002E-3"/>
  </r>
  <r>
    <d v="2025-04-21T00:00:00"/>
    <x v="0"/>
    <n v="5941"/>
    <n v="450"/>
    <n v="1117854"/>
    <x v="184"/>
    <n v="58330"/>
    <n v="4.9120904876665469E-3"/>
  </r>
  <r>
    <d v="2025-04-21T00:00:00"/>
    <x v="0"/>
    <n v="7267"/>
    <n v="842"/>
    <n v="1124279"/>
    <x v="185"/>
    <n v="11171"/>
    <n v="5.7147736460433753E-3"/>
  </r>
  <r>
    <d v="2025-04-21T00:00:00"/>
    <x v="1"/>
    <n v="8128"/>
    <n v="1070"/>
    <n v="1131337"/>
    <x v="186"/>
    <n v="21918"/>
    <n v="6.2386362330587612E-3"/>
  </r>
  <r>
    <d v="2025-04-21T00:00:00"/>
    <x v="0"/>
    <n v="3461"/>
    <n v="365"/>
    <n v="1134433"/>
    <x v="187"/>
    <n v="51903"/>
    <n v="2.7291166600407427E-3"/>
  </r>
  <r>
    <d v="2025-04-28T00:00:00"/>
    <x v="3"/>
    <n v="1685"/>
    <n v="173"/>
    <n v="1135945"/>
    <x v="188"/>
    <n v="49110"/>
    <n v="1.331050358952238E-3"/>
  </r>
  <r>
    <d v="2025-04-28T00:00:00"/>
    <x v="1"/>
    <n v="3160"/>
    <n v="234"/>
    <n v="1138871"/>
    <x v="189"/>
    <n v="21929"/>
    <n v="2.5692110871204906E-3"/>
  </r>
  <r>
    <d v="2025-04-28T00:00:00"/>
    <x v="1"/>
    <n v="8031"/>
    <n v="476"/>
    <n v="1146426"/>
    <x v="190"/>
    <n v="12539"/>
    <n v="6.5900459340594159E-3"/>
  </r>
  <r>
    <d v="2025-04-28T00:00:00"/>
    <x v="1"/>
    <n v="6341"/>
    <n v="885"/>
    <n v="1151882"/>
    <x v="191"/>
    <n v="46727"/>
    <n v="4.7365962832998515E-3"/>
  </r>
  <r>
    <d v="2025-05-05T00:00:00"/>
    <x v="3"/>
    <n v="1038"/>
    <n v="145"/>
    <n v="1152775"/>
    <x v="192"/>
    <n v="55951"/>
    <n v="7.7465246904209403E-4"/>
  </r>
  <r>
    <d v="2025-05-05T00:00:00"/>
    <x v="2"/>
    <n v="5875"/>
    <n v="665"/>
    <n v="1157985"/>
    <x v="193"/>
    <n v="32669"/>
    <n v="4.4991947218659999E-3"/>
  </r>
  <r>
    <d v="2025-05-05T00:00:00"/>
    <x v="3"/>
    <n v="2256"/>
    <n v="189"/>
    <n v="1160052"/>
    <x v="194"/>
    <n v="15432"/>
    <n v="1.7818166771834366E-3"/>
  </r>
  <r>
    <d v="2025-05-05T00:00:00"/>
    <x v="0"/>
    <n v="8697"/>
    <n v="738"/>
    <n v="1168011"/>
    <x v="195"/>
    <n v="30644"/>
    <n v="6.8141481544266276E-3"/>
  </r>
  <r>
    <d v="2025-05-12T00:00:00"/>
    <x v="0"/>
    <n v="3196"/>
    <n v="391"/>
    <n v="1170816"/>
    <x v="196"/>
    <n v="28745"/>
    <n v="2.3957650049196456E-3"/>
  </r>
  <r>
    <d v="2025-05-12T00:00:00"/>
    <x v="3"/>
    <n v="8165"/>
    <n v="1140"/>
    <n v="1177841"/>
    <x v="197"/>
    <n v="38228"/>
    <n v="5.9643024822535473E-3"/>
  </r>
  <r>
    <d v="2025-05-12T00:00:00"/>
    <x v="3"/>
    <n v="1301"/>
    <n v="180"/>
    <n v="1178962"/>
    <x v="198"/>
    <n v="44521"/>
    <n v="9.5083641372665107E-4"/>
  </r>
  <r>
    <d v="2025-05-12T00:00:00"/>
    <x v="1"/>
    <n v="8527"/>
    <n v="1091"/>
    <n v="1186398"/>
    <x v="199"/>
    <n v="41703"/>
    <n v="6.267711172810473E-3"/>
  </r>
  <r>
    <m/>
    <x v="4"/>
    <m/>
    <m/>
    <m/>
    <x v="200"/>
    <m/>
    <m/>
  </r>
  <r>
    <m/>
    <x v="4"/>
    <m/>
    <m/>
    <m/>
    <x v="200"/>
    <m/>
    <m/>
  </r>
  <r>
    <m/>
    <x v="4"/>
    <m/>
    <m/>
    <m/>
    <x v="200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2">
  <r>
    <s v="A82"/>
    <x v="0"/>
    <d v="2024-07-24T00:00:00"/>
    <x v="0"/>
    <s v="#AppleMusic #AppleLifestyle"/>
    <n v="22914"/>
    <n v="954"/>
    <n v="584"/>
    <n v="1519"/>
    <n v="13637"/>
    <n v="49847"/>
    <s v="Apple Watch Ultra 2 Launch"/>
    <n v="0.49054105563022848"/>
  </r>
  <r>
    <s v="A201"/>
    <x v="1"/>
    <d v="2025-01-15T00:00:00"/>
    <x v="1"/>
    <s v="#ShotOniPhone"/>
    <n v="20360"/>
    <n v="254"/>
    <n v="726"/>
    <n v="1995"/>
    <n v="14280"/>
    <n v="43726"/>
    <s v="iPhone 16 Launch"/>
    <n v="0.48803915290673738"/>
  </r>
  <r>
    <s v="A121"/>
    <x v="0"/>
    <d v="2024-07-29T00:00:00"/>
    <x v="0"/>
    <s v="#AppleWatchUltra2 #HealthTech"/>
    <n v="19144"/>
    <n v="1182"/>
    <n v="860"/>
    <n v="1398"/>
    <n v="4185"/>
    <n v="46570"/>
    <s v="Apple Watch Ultra 2 Launch"/>
    <n v="0.454928065278076"/>
  </r>
  <r>
    <s v="A127"/>
    <x v="2"/>
    <d v="2025-01-27T00:00:00"/>
    <x v="2"/>
    <s v="#AppleEvent #iPhone16"/>
    <n v="24415"/>
    <n v="860"/>
    <n v="931"/>
    <n v="320"/>
    <n v="65049"/>
    <n v="62911"/>
    <s v="Apple Watch Ultra 2 Launch"/>
    <n v="0.41655672298962027"/>
  </r>
  <r>
    <s v="A13"/>
    <x v="1"/>
    <d v="2024-11-18T00:00:00"/>
    <x v="3"/>
    <s v="#AppleMusic #AppleLifestyle"/>
    <n v="21255"/>
    <n v="1452"/>
    <n v="625"/>
    <n v="1624"/>
    <n v="21282"/>
    <n v="57778"/>
    <s v="MacBook Air M3 Campaign"/>
    <n v="0.40382152376337016"/>
  </r>
  <r>
    <s v="A123"/>
    <x v="2"/>
    <d v="2024-06-14T00:00:00"/>
    <x v="0"/>
    <s v="#AppleEvent #iPhone16"/>
    <n v="17183"/>
    <n v="1224"/>
    <n v="943"/>
    <n v="2010"/>
    <n v="21481"/>
    <n v="49110"/>
    <s v="Sustainability Awareness Drive"/>
    <n v="0.39401343921808185"/>
  </r>
  <r>
    <s v="A287"/>
    <x v="3"/>
    <d v="2024-08-15T00:00:00"/>
    <x v="0"/>
    <s v="#AppleEvent #iPadPro"/>
    <n v="14977"/>
    <n v="274"/>
    <n v="798"/>
    <n v="458"/>
    <n v="6636"/>
    <n v="43654"/>
    <s v="Apple Watch Ultra 2 Launch"/>
    <n v="0.36764099509781462"/>
  </r>
  <r>
    <s v="A226"/>
    <x v="2"/>
    <d v="2025-09-08T00:00:00"/>
    <x v="1"/>
    <s v="#AppleWatch #Health"/>
    <n v="23785"/>
    <n v="1013"/>
    <n v="468"/>
    <n v="1628"/>
    <n v="8272"/>
    <n v="71348"/>
    <s v="Apple Event September 2025"/>
    <n v="0.35412345125301342"/>
  </r>
  <r>
    <s v="A231"/>
    <x v="2"/>
    <d v="2025-09-09T00:00:00"/>
    <x v="2"/>
    <s v="#AppleMusic #AppleLifestyle"/>
    <n v="19260"/>
    <n v="668"/>
    <n v="994"/>
    <n v="934"/>
    <n v="20509"/>
    <n v="61636"/>
    <s v="Apple Event September 2025"/>
    <n v="0.33944448049841003"/>
  </r>
  <r>
    <s v="A185"/>
    <x v="3"/>
    <d v="2025-01-11T00:00:00"/>
    <x v="2"/>
    <s v="#MacBookAirM3 #AppleInnovation"/>
    <n v="21181"/>
    <n v="1242"/>
    <n v="963"/>
    <n v="1689"/>
    <n v="49329"/>
    <n v="69165"/>
    <s v="Apple Watch Ultra 2 Launch"/>
    <n v="0.33811899081905589"/>
  </r>
  <r>
    <s v="A106"/>
    <x v="2"/>
    <d v="2025-02-04T00:00:00"/>
    <x v="3"/>
    <s v="#AppleWatch #Health"/>
    <n v="23833"/>
    <n v="555"/>
    <n v="523"/>
    <n v="1330"/>
    <n v="69141"/>
    <n v="73997"/>
    <s v="iPhone 16 Launch"/>
    <n v="0.33664878305877266"/>
  </r>
  <r>
    <s v="A174"/>
    <x v="0"/>
    <d v="2024-06-22T00:00:00"/>
    <x v="3"/>
    <s v="#AppleWatchUltra2 #HealthTech"/>
    <n v="13479"/>
    <n v="1189"/>
    <n v="695"/>
    <n v="416"/>
    <n v="30229"/>
    <n v="45704"/>
    <s v="Apple Watch Ultra 2 Launch"/>
    <n v="0.33614125678277612"/>
  </r>
  <r>
    <s v="A254"/>
    <x v="3"/>
    <d v="2025-01-14T00:00:00"/>
    <x v="3"/>
    <s v="#AppleEvent #iPhone16"/>
    <n v="24350"/>
    <n v="460"/>
    <n v="666"/>
    <n v="814"/>
    <n v="21120"/>
    <n v="76914"/>
    <s v="Apple Watch Ultra 2 Launch"/>
    <n v="0.33122708479600593"/>
  </r>
  <r>
    <s v="A223"/>
    <x v="2"/>
    <d v="2024-11-12T00:00:00"/>
    <x v="0"/>
    <s v="#AppleDesign #Innovation"/>
    <n v="17913"/>
    <n v="1311"/>
    <n v="859"/>
    <n v="405"/>
    <n v="59842"/>
    <n v="62612"/>
    <s v="Sustainability Awareness Drive"/>
    <n v="0.32075321024723696"/>
  </r>
  <r>
    <s v="A164"/>
    <x v="0"/>
    <d v="2025-02-27T00:00:00"/>
    <x v="2"/>
    <s v="#MacBookAirM3 #AppleInnovation"/>
    <n v="16178"/>
    <n v="1048"/>
    <n v="871"/>
    <n v="2553"/>
    <n v="39025"/>
    <n v="59508"/>
    <s v="Apple Watch Ultra 2 Launch"/>
    <n v="0.30411037171472743"/>
  </r>
  <r>
    <s v="A151"/>
    <x v="1"/>
    <d v="2024-07-26T00:00:00"/>
    <x v="0"/>
    <s v="#MacBookProM3"/>
    <n v="18282"/>
    <n v="224"/>
    <n v="962"/>
    <n v="890"/>
    <n v="35105"/>
    <n v="64089"/>
    <s v="iPhone 16 Launch"/>
    <n v="0.30376507669022768"/>
  </r>
  <r>
    <s v="A140"/>
    <x v="3"/>
    <d v="2024-07-15T00:00:00"/>
    <x v="1"/>
    <s v="#AppleMusic #AppleLifestyle"/>
    <n v="14891"/>
    <n v="674"/>
    <n v="521"/>
    <n v="1091"/>
    <n v="18101"/>
    <n v="53669"/>
    <s v="Apple Watch Ultra 2 Launch"/>
    <n v="0.29972609886526674"/>
  </r>
  <r>
    <s v="A83"/>
    <x v="3"/>
    <d v="2024-10-15T00:00:00"/>
    <x v="3"/>
    <s v="#ShotOniPhone"/>
    <n v="17781"/>
    <n v="993"/>
    <n v="627"/>
    <n v="2187"/>
    <n v="9609"/>
    <n v="66155"/>
    <s v="iPhone 16 Launch"/>
    <n v="0.29326581513113142"/>
  </r>
  <r>
    <s v="A196"/>
    <x v="2"/>
    <d v="2025-09-18T00:00:00"/>
    <x v="1"/>
    <s v="#MacBookProM3"/>
    <n v="10152"/>
    <n v="1445"/>
    <n v="526"/>
    <n v="513"/>
    <n v="18959"/>
    <n v="43712"/>
    <s v="Apple Event September 2025"/>
    <n v="0.27733803074670571"/>
  </r>
  <r>
    <s v="A136"/>
    <x v="3"/>
    <d v="2025-10-02T00:00:00"/>
    <x v="3"/>
    <s v="#AppleDesign #Innovation"/>
    <n v="12161"/>
    <n v="736"/>
    <n v="876"/>
    <n v="1233"/>
    <n v="21337"/>
    <n v="50225"/>
    <s v="Apple Event September 2025"/>
    <n v="0.27422598307615731"/>
  </r>
  <r>
    <s v="A5"/>
    <x v="1"/>
    <d v="2025-09-04T00:00:00"/>
    <x v="0"/>
    <s v="#AppleWatchUltra2 #HealthTech"/>
    <n v="21708"/>
    <n v="435"/>
    <n v="317"/>
    <n v="1213"/>
    <n v="70701"/>
    <n v="83585"/>
    <s v="Apple Event September 2025"/>
    <n v="0.26870850032900639"/>
  </r>
  <r>
    <s v="A80"/>
    <x v="0"/>
    <d v="2024-06-13T00:00:00"/>
    <x v="2"/>
    <s v="#AppleWatchUltra2 #HealthTech"/>
    <n v="14173"/>
    <n v="294"/>
    <n v="257"/>
    <n v="1288"/>
    <n v="39466"/>
    <n v="55563"/>
    <s v="MacBook Air M3 Campaign"/>
    <n v="0.26499649047027696"/>
  </r>
  <r>
    <s v="A150"/>
    <x v="0"/>
    <d v="2024-08-22T00:00:00"/>
    <x v="0"/>
    <s v="#iPhonePhotography #ShotOniPhone"/>
    <n v="16124"/>
    <n v="863"/>
    <n v="337"/>
    <n v="819"/>
    <n v="85788"/>
    <n v="68625"/>
    <s v="iPhone 16 Launch"/>
    <n v="0.25244444444444447"/>
  </r>
  <r>
    <s v="A220"/>
    <x v="1"/>
    <d v="2024-06-02T00:00:00"/>
    <x v="0"/>
    <s v="#MacBookAirM3 #AppleInnovation"/>
    <n v="14199"/>
    <n v="1206"/>
    <n v="954"/>
    <n v="2009"/>
    <n v="8"/>
    <n v="65537"/>
    <s v="Sustainability Awareness Drive"/>
    <n v="0.24961472145505592"/>
  </r>
  <r>
    <s v="A21"/>
    <x v="2"/>
    <d v="2025-09-08T00:00:00"/>
    <x v="3"/>
    <s v="#iPhonePhotography #ShotOniPhone"/>
    <n v="22309"/>
    <n v="773"/>
    <n v="854"/>
    <n v="2387"/>
    <n v="72396"/>
    <n v="97056"/>
    <s v="Apple Event September 2025"/>
    <n v="0.24662050774810418"/>
  </r>
  <r>
    <s v="A244"/>
    <x v="3"/>
    <d v="2025-09-13T00:00:00"/>
    <x v="0"/>
    <s v="#iPhonePhotography #ShotOniPhone"/>
    <n v="15046"/>
    <n v="281"/>
    <n v="515"/>
    <n v="550"/>
    <n v="22583"/>
    <n v="64596"/>
    <s v="Apple Event September 2025"/>
    <n v="0.24524738373893121"/>
  </r>
  <r>
    <s v="A76"/>
    <x v="2"/>
    <d v="2024-11-07T00:00:00"/>
    <x v="3"/>
    <s v="#ShotOniPhone"/>
    <n v="17254"/>
    <n v="246"/>
    <n v="952"/>
    <n v="871"/>
    <n v="14957"/>
    <n v="75946"/>
    <s v="MacBook Air M3 Campaign"/>
    <n v="0.24296210465330631"/>
  </r>
  <r>
    <s v="A216"/>
    <x v="3"/>
    <d v="2024-07-29T00:00:00"/>
    <x v="1"/>
    <s v="#AppleWatchUltra2 #HealthTech"/>
    <n v="22590"/>
    <n v="1462"/>
    <n v="966"/>
    <n v="2463"/>
    <n v="29689"/>
    <n v="103449"/>
    <s v="Sustainability Awareness Drive"/>
    <n v="0.24183897379385011"/>
  </r>
  <r>
    <s v="A51"/>
    <x v="1"/>
    <d v="2024-06-13T00:00:00"/>
    <x v="3"/>
    <s v="#AppleWatch #Health"/>
    <n v="23164"/>
    <n v="1122"/>
    <n v="900"/>
    <n v="888"/>
    <n v="36938"/>
    <n v="104674"/>
    <s v="Apple Watch Ultra 2 Launch"/>
    <n v="0.24061371496264594"/>
  </r>
  <r>
    <s v="A6"/>
    <x v="0"/>
    <d v="2025-09-05T00:00:00"/>
    <x v="2"/>
    <s v="#ShotOniPhone"/>
    <n v="14677"/>
    <n v="533"/>
    <n v="759"/>
    <n v="753"/>
    <n v="23275"/>
    <n v="66958"/>
    <s v="Apple Event September 2025"/>
    <n v="0.23849278652289496"/>
  </r>
  <r>
    <s v="A289"/>
    <x v="3"/>
    <d v="2024-11-28T00:00:00"/>
    <x v="3"/>
    <s v="#AppleMusic #AppleLifestyle"/>
    <n v="18644"/>
    <n v="1369"/>
    <n v="887"/>
    <n v="1256"/>
    <n v="43415"/>
    <n v="88368"/>
    <s v="Sustainability Awareness Drive"/>
    <n v="0.23651095419156257"/>
  </r>
  <r>
    <s v="A186"/>
    <x v="3"/>
    <d v="2024-08-24T00:00:00"/>
    <x v="0"/>
    <s v="#AppleDesign #Innovation"/>
    <n v="24890"/>
    <n v="217"/>
    <n v="178"/>
    <n v="906"/>
    <n v="54826"/>
    <n v="107203"/>
    <s v="Sustainability Awareness Drive"/>
    <n v="0.23586093672751696"/>
  </r>
  <r>
    <s v="A61"/>
    <x v="1"/>
    <d v="2024-09-05T00:00:00"/>
    <x v="3"/>
    <s v="#MacBookProM3"/>
    <n v="16489"/>
    <n v="395"/>
    <n v="350"/>
    <n v="2364"/>
    <n v="43239"/>
    <n v="73397"/>
    <s v="MacBook Air M3 Campaign"/>
    <n v="0.23480523727127811"/>
  </r>
  <r>
    <s v="A286"/>
    <x v="1"/>
    <d v="2025-09-19T00:00:00"/>
    <x v="1"/>
    <s v="#AppleWatch #Health"/>
    <n v="22128"/>
    <n v="1004"/>
    <n v="690"/>
    <n v="2048"/>
    <n v="19443"/>
    <n v="103646"/>
    <s v="Apple Event September 2025"/>
    <n v="0.22984003241803833"/>
  </r>
  <r>
    <s v="A105"/>
    <x v="2"/>
    <d v="2024-06-14T00:00:00"/>
    <x v="3"/>
    <s v="#iPhone16Launch #AppleEvent"/>
    <n v="21856"/>
    <n v="1203"/>
    <n v="634"/>
    <n v="2807"/>
    <n v="3647"/>
    <n v="104178"/>
    <s v="iPhone 16 Launch"/>
    <n v="0.22742805582752595"/>
  </r>
  <r>
    <s v="A119"/>
    <x v="0"/>
    <d v="2025-02-07T00:00:00"/>
    <x v="3"/>
    <s v="#Sustainability #AppleEarth"/>
    <n v="20290"/>
    <n v="619"/>
    <n v="927"/>
    <n v="1186"/>
    <n v="8924"/>
    <n v="96503"/>
    <s v="MacBook Air M3 Campaign"/>
    <n v="0.22627275835984373"/>
  </r>
  <r>
    <s v="A170"/>
    <x v="2"/>
    <d v="2025-04-28T00:00:00"/>
    <x v="3"/>
    <s v="#iPhonePhotography #ShotOniPhone"/>
    <n v="15013"/>
    <n v="1286"/>
    <n v="599"/>
    <n v="2001"/>
    <n v="67839"/>
    <n v="76059"/>
    <s v="Apple Watch Ultra 2 Launch"/>
    <n v="0.22216963147030594"/>
  </r>
  <r>
    <s v="A46"/>
    <x v="0"/>
    <d v="2025-05-02T00:00:00"/>
    <x v="1"/>
    <s v="#AppleEvent #iPhone16"/>
    <n v="17444"/>
    <n v="1402"/>
    <n v="218"/>
    <n v="725"/>
    <n v="8710"/>
    <n v="85893"/>
    <s v="MacBook Air M3 Campaign"/>
    <n v="0.22195056640238436"/>
  </r>
  <r>
    <s v="A187"/>
    <x v="2"/>
    <d v="2024-12-22T00:00:00"/>
    <x v="1"/>
    <s v="#Sustainability #AppleEarth"/>
    <n v="7870"/>
    <n v="968"/>
    <n v="626"/>
    <n v="465"/>
    <n v="27184"/>
    <n v="44114"/>
    <s v="MacBook Air M3 Campaign"/>
    <n v="0.2145350682323072"/>
  </r>
  <r>
    <s v="A190"/>
    <x v="2"/>
    <d v="2024-10-04T00:00:00"/>
    <x v="2"/>
    <s v="#AppleMusic #AppleLifestyle"/>
    <n v="21729"/>
    <n v="1209"/>
    <n v="897"/>
    <n v="1624"/>
    <n v="38771"/>
    <n v="113297"/>
    <s v="iPhone 16 Launch"/>
    <n v="0.21037626768581694"/>
  </r>
  <r>
    <s v="A251"/>
    <x v="2"/>
    <d v="2025-09-15T00:00:00"/>
    <x v="2"/>
    <s v="#AppleMusic #AppleLifestyle"/>
    <n v="18389"/>
    <n v="670"/>
    <n v="655"/>
    <n v="321"/>
    <n v="21869"/>
    <n v="96088"/>
    <s v="Apple Event September 2025"/>
    <n v="0.2051660977437349"/>
  </r>
  <r>
    <s v="A74"/>
    <x v="2"/>
    <d v="2024-10-28T00:00:00"/>
    <x v="3"/>
    <s v="#AppleEvent #iPadPro"/>
    <n v="21198"/>
    <n v="1484"/>
    <n v="174"/>
    <n v="1293"/>
    <n v="16330"/>
    <n v="111635"/>
    <s v="iPhone 16 Launch"/>
    <n v="0.20473865723115511"/>
  </r>
  <r>
    <s v="A42"/>
    <x v="1"/>
    <d v="2025-03-05T00:00:00"/>
    <x v="3"/>
    <s v="#AppleEvent #iPhone16"/>
    <n v="12916"/>
    <n v="1262"/>
    <n v="772"/>
    <n v="856"/>
    <n v="11496"/>
    <n v="75046"/>
    <s v="Sustainability Awareness Drive"/>
    <n v="0.19921115049436347"/>
  </r>
  <r>
    <s v="A246"/>
    <x v="2"/>
    <d v="2024-10-11T00:00:00"/>
    <x v="3"/>
    <s v="#iPhone16Launch #AppleEvent"/>
    <n v="19447"/>
    <n v="1014"/>
    <n v="256"/>
    <n v="2354"/>
    <n v="5472"/>
    <n v="104106"/>
    <s v="Apple Watch Ultra 2 Launch"/>
    <n v="0.19899909707413599"/>
  </r>
  <r>
    <s v="A260"/>
    <x v="1"/>
    <d v="2025-02-12T00:00:00"/>
    <x v="0"/>
    <s v="#MacBookAirM3 #AppleInnovation"/>
    <n v="15234"/>
    <n v="1276"/>
    <n v="670"/>
    <n v="1860"/>
    <n v="60397"/>
    <n v="86413"/>
    <s v="MacBook Air M3 Campaign"/>
    <n v="0.19881267864788862"/>
  </r>
  <r>
    <s v="A93"/>
    <x v="2"/>
    <d v="2024-12-11T00:00:00"/>
    <x v="3"/>
    <s v="#iPhone16Launch #AppleEvent"/>
    <n v="22645"/>
    <n v="545"/>
    <n v="972"/>
    <n v="321"/>
    <n v="8396"/>
    <n v="121537"/>
    <s v="MacBook Air M3 Campaign"/>
    <n v="0.19880365649966678"/>
  </r>
  <r>
    <s v="A163"/>
    <x v="0"/>
    <d v="2025-04-08T00:00:00"/>
    <x v="0"/>
    <s v="#AppleWatchUltra2 #HealthTech"/>
    <n v="15568"/>
    <n v="1166"/>
    <n v="546"/>
    <n v="826"/>
    <n v="21836"/>
    <n v="87055"/>
    <s v="Apple Watch Ultra 2 Launch"/>
    <n v="0.19849520418126471"/>
  </r>
  <r>
    <s v="A300"/>
    <x v="0"/>
    <d v="2025-09-26T00:00:00"/>
    <x v="0"/>
    <s v="#iPhone16Launch #AppleEvent"/>
    <n v="21216"/>
    <n v="226"/>
    <n v="187"/>
    <n v="1573"/>
    <n v="62688"/>
    <n v="111031"/>
    <s v="Apple Event September 2025"/>
    <n v="0.19480145184678152"/>
  </r>
  <r>
    <s v="A68"/>
    <x v="3"/>
    <d v="2024-12-08T00:00:00"/>
    <x v="0"/>
    <s v="#MacBookAirM3 #AppleInnovation"/>
    <n v="10427"/>
    <n v="1014"/>
    <n v="166"/>
    <n v="1649"/>
    <n v="15145"/>
    <n v="59816"/>
    <s v="Sustainability Awareness Drive"/>
    <n v="0.19404507155276179"/>
  </r>
  <r>
    <s v="A126"/>
    <x v="0"/>
    <d v="2025-03-28T00:00:00"/>
    <x v="2"/>
    <s v="#AppleWatch #Health"/>
    <n v="13637"/>
    <n v="1135"/>
    <n v="540"/>
    <n v="1288"/>
    <n v="45183"/>
    <n v="79062"/>
    <s v="MacBook Air M3 Campaign"/>
    <n v="0.19367079001290127"/>
  </r>
  <r>
    <s v="A129"/>
    <x v="0"/>
    <d v="2024-07-21T00:00:00"/>
    <x v="2"/>
    <s v="#AppleEvent #iPadPro"/>
    <n v="11911"/>
    <n v="1360"/>
    <n v="778"/>
    <n v="1168"/>
    <n v="16483"/>
    <n v="72556"/>
    <s v="Sustainability Awareness Drive"/>
    <n v="0.19362974805667346"/>
  </r>
  <r>
    <s v="A97"/>
    <x v="2"/>
    <d v="2024-08-13T00:00:00"/>
    <x v="3"/>
    <s v="#Sustainability #AppleEarth"/>
    <n v="6854"/>
    <n v="417"/>
    <n v="467"/>
    <n v="1003"/>
    <n v="61333"/>
    <n v="40281"/>
    <s v="Apple Watch Ultra 2 Launch"/>
    <n v="0.19210049402944315"/>
  </r>
  <r>
    <s v="A47"/>
    <x v="0"/>
    <d v="2025-02-24T00:00:00"/>
    <x v="1"/>
    <s v="#iPhone16Launch #AppleEvent"/>
    <n v="24984"/>
    <n v="753"/>
    <n v="461"/>
    <n v="2710"/>
    <n v="20792"/>
    <n v="141520"/>
    <s v="Sustainability Awareness Drive"/>
    <n v="0.18511871113623515"/>
  </r>
  <r>
    <s v="A152"/>
    <x v="1"/>
    <d v="2025-10-04T00:00:00"/>
    <x v="0"/>
    <s v="#Sustainability #AppleEarth"/>
    <n v="12488"/>
    <n v="1403"/>
    <n v="247"/>
    <n v="1350"/>
    <n v="28370"/>
    <n v="76487"/>
    <s v="Apple Event September 2025"/>
    <n v="0.18484186855282597"/>
  </r>
  <r>
    <s v="A230"/>
    <x v="3"/>
    <d v="2024-07-15T00:00:00"/>
    <x v="0"/>
    <s v="#ShotOniPhone"/>
    <n v="12554"/>
    <n v="381"/>
    <n v="211"/>
    <n v="2286"/>
    <n v="50567"/>
    <n v="72779"/>
    <s v="Apple Watch Ultra 2 Launch"/>
    <n v="0.18062902760411656"/>
  </r>
  <r>
    <s v="A148"/>
    <x v="1"/>
    <d v="2025-04-15T00:00:00"/>
    <x v="0"/>
    <s v="#iPhone16Launch #AppleEvent"/>
    <n v="20977"/>
    <n v="1402"/>
    <n v="301"/>
    <n v="1284"/>
    <n v="24620"/>
    <n v="128009"/>
    <s v="Apple Watch Ultra 2 Launch"/>
    <n v="0.17717504237983267"/>
  </r>
  <r>
    <s v="A139"/>
    <x v="1"/>
    <d v="2024-10-29T00:00:00"/>
    <x v="1"/>
    <s v="#AppleEvent #iPhone16"/>
    <n v="23969"/>
    <n v="1433"/>
    <n v="372"/>
    <n v="1092"/>
    <n v="32147"/>
    <n v="145823"/>
    <s v="Sustainability Awareness Drive"/>
    <n v="0.17674852389540743"/>
  </r>
  <r>
    <s v="A23"/>
    <x v="2"/>
    <d v="2024-11-06T00:00:00"/>
    <x v="3"/>
    <s v="#AppleEvent #iPhone16"/>
    <n v="8938"/>
    <n v="800"/>
    <n v="842"/>
    <n v="2072"/>
    <n v="31736"/>
    <n v="59975"/>
    <s v="iPhone 16 Launch"/>
    <n v="0.17640683618174238"/>
  </r>
  <r>
    <s v="A125"/>
    <x v="3"/>
    <d v="2024-09-08T00:00:00"/>
    <x v="3"/>
    <s v="#AppleWatchUltra2 #HealthTech"/>
    <n v="8090"/>
    <n v="570"/>
    <n v="399"/>
    <n v="1862"/>
    <n v="34088"/>
    <n v="52115"/>
    <s v="Apple Watch Ultra 2 Launch"/>
    <n v="0.17382711311522595"/>
  </r>
  <r>
    <s v="A91"/>
    <x v="0"/>
    <d v="2025-09-24T00:00:00"/>
    <x v="1"/>
    <s v="#AppleMusic #AppleLifestyle"/>
    <n v="12209"/>
    <n v="222"/>
    <n v="479"/>
    <n v="2748"/>
    <n v="24615"/>
    <n v="74707"/>
    <s v="Apple Event September 2025"/>
    <n v="0.17280843829895459"/>
  </r>
  <r>
    <s v="A44"/>
    <x v="0"/>
    <d v="2025-03-02T00:00:00"/>
    <x v="0"/>
    <s v="#iPhonePhotography #ShotOniPhone"/>
    <n v="22562"/>
    <n v="778"/>
    <n v="907"/>
    <n v="1354"/>
    <n v="34475"/>
    <n v="141459"/>
    <s v="iPhone 16 Launch"/>
    <n v="0.17140655596321194"/>
  </r>
  <r>
    <s v="A276"/>
    <x v="0"/>
    <d v="2024-06-07T00:00:00"/>
    <x v="0"/>
    <s v="#AppleEvent #iPadPro"/>
    <n v="8233"/>
    <n v="436"/>
    <n v="269"/>
    <n v="2037"/>
    <n v="8875"/>
    <n v="52289"/>
    <s v="Apple Watch Ultra 2 Launch"/>
    <n v="0.17093461339861157"/>
  </r>
  <r>
    <s v="A160"/>
    <x v="0"/>
    <d v="2024-08-24T00:00:00"/>
    <x v="1"/>
    <s v="#iPhonePhotography #ShotOniPhone"/>
    <n v="22527"/>
    <n v="865"/>
    <n v="646"/>
    <n v="992"/>
    <n v="18654"/>
    <n v="141376"/>
    <s v="MacBook Air M3 Campaign"/>
    <n v="0.17002885921231325"/>
  </r>
  <r>
    <s v="A158"/>
    <x v="2"/>
    <d v="2024-08-11T00:00:00"/>
    <x v="3"/>
    <s v="#MacBookAirM3 #AppleInnovation"/>
    <n v="14394"/>
    <n v="1202"/>
    <n v="188"/>
    <n v="1259"/>
    <n v="21925"/>
    <n v="94061"/>
    <s v="iPhone 16 Launch"/>
    <n v="0.1678059982351878"/>
  </r>
  <r>
    <s v="A202"/>
    <x v="0"/>
    <d v="2025-09-21T00:00:00"/>
    <x v="2"/>
    <s v="#Sustainability #AppleEarth"/>
    <n v="19680"/>
    <n v="999"/>
    <n v="838"/>
    <n v="891"/>
    <n v="29576"/>
    <n v="129152"/>
    <s v="Apple Event September 2025"/>
    <n v="0.16660214321110009"/>
  </r>
  <r>
    <s v="A73"/>
    <x v="3"/>
    <d v="2025-09-21T00:00:00"/>
    <x v="0"/>
    <s v="#AppleWatchUltra2 #HealthTech"/>
    <n v="23103"/>
    <n v="1380"/>
    <n v="191"/>
    <n v="1547"/>
    <n v="77798"/>
    <n v="148856"/>
    <s v="Apple Event September 2025"/>
    <n v="0.16575751061428495"/>
  </r>
  <r>
    <s v="A221"/>
    <x v="1"/>
    <d v="2025-03-23T00:00:00"/>
    <x v="3"/>
    <s v="#AppleMusic #AppleLifestyle"/>
    <n v="17728"/>
    <n v="1487"/>
    <n v="210"/>
    <n v="2469"/>
    <n v="30565"/>
    <n v="117576"/>
    <s v="Apple Watch Ultra 2 Launch"/>
    <n v="0.16521228822208614"/>
  </r>
  <r>
    <s v="A285"/>
    <x v="2"/>
    <d v="2024-07-18T00:00:00"/>
    <x v="0"/>
    <s v="#AppleWatchUltra2 #HealthTech"/>
    <n v="16594"/>
    <n v="809"/>
    <n v="784"/>
    <n v="1655"/>
    <n v="35505"/>
    <n v="112588"/>
    <s v="Sustainability Awareness Drive"/>
    <n v="0.16153586527871533"/>
  </r>
  <r>
    <s v="A62"/>
    <x v="1"/>
    <d v="2025-09-20T00:00:00"/>
    <x v="2"/>
    <s v="#AppleEvent #iPhone16"/>
    <n v="18633"/>
    <n v="797"/>
    <n v="303"/>
    <n v="659"/>
    <n v="7"/>
    <n v="122189"/>
    <s v="Apple Event September 2025"/>
    <n v="0.16149571565361859"/>
  </r>
  <r>
    <s v="A75"/>
    <x v="3"/>
    <d v="2024-08-01T00:00:00"/>
    <x v="2"/>
    <s v="#AppleDesign #Innovation"/>
    <n v="21758"/>
    <n v="1380"/>
    <n v="188"/>
    <n v="1735"/>
    <n v="20998"/>
    <n v="147803"/>
    <s v="MacBook Air M3 Campaign"/>
    <n v="0.15781817689762725"/>
  </r>
  <r>
    <s v="A189"/>
    <x v="1"/>
    <d v="2025-03-24T00:00:00"/>
    <x v="2"/>
    <s v="#ShotOniPhone"/>
    <n v="10172"/>
    <n v="1398"/>
    <n v="394"/>
    <n v="2358"/>
    <n v="59610"/>
    <n v="76321"/>
    <s v="iPhone 16 Launch"/>
    <n v="0.15675895231980713"/>
  </r>
  <r>
    <s v="A50"/>
    <x v="2"/>
    <d v="2024-07-03T00:00:00"/>
    <x v="1"/>
    <s v="#AppleMusic #AppleLifestyle"/>
    <n v="14338"/>
    <n v="1454"/>
    <n v="697"/>
    <n v="2703"/>
    <n v="21288"/>
    <n v="107649"/>
    <s v="iPhone 16 Launch"/>
    <n v="0.1531737405828201"/>
  </r>
  <r>
    <s v="A132"/>
    <x v="3"/>
    <d v="2025-03-04T00:00:00"/>
    <x v="0"/>
    <s v="#MacBookAirM3 #AppleInnovation"/>
    <n v="5266"/>
    <n v="316"/>
    <n v="837"/>
    <n v="2276"/>
    <n v="20967"/>
    <n v="41969"/>
    <s v="MacBook Air M3 Campaign"/>
    <n v="0.1529462222116324"/>
  </r>
  <r>
    <s v="A40"/>
    <x v="1"/>
    <d v="2025-09-14T00:00:00"/>
    <x v="3"/>
    <s v="#AppleWatch #Health"/>
    <n v="19844"/>
    <n v="1020"/>
    <n v="247"/>
    <n v="2354"/>
    <n v="37792"/>
    <n v="138317"/>
    <s v="Apple Event September 2025"/>
    <n v="0.15262765965138053"/>
  </r>
  <r>
    <s v="A77"/>
    <x v="0"/>
    <d v="2025-03-04T00:00:00"/>
    <x v="3"/>
    <s v="#iPhone16Launch #AppleEvent"/>
    <n v="13470"/>
    <n v="523"/>
    <n v="280"/>
    <n v="2682"/>
    <n v="8538"/>
    <n v="95204"/>
    <s v="Apple Watch Ultra 2 Launch"/>
    <n v="0.14992017142136885"/>
  </r>
  <r>
    <s v="A264"/>
    <x v="3"/>
    <d v="2025-01-30T00:00:00"/>
    <x v="1"/>
    <s v="#iPhonePhotography #ShotOniPhone"/>
    <n v="12954"/>
    <n v="913"/>
    <n v="722"/>
    <n v="1049"/>
    <n v="475"/>
    <n v="97716"/>
    <s v="Apple Watch Ultra 2 Launch"/>
    <n v="0.14930001228048631"/>
  </r>
  <r>
    <s v="A108"/>
    <x v="0"/>
    <d v="2025-09-28T00:00:00"/>
    <x v="3"/>
    <s v="#AppleWatch #Health"/>
    <n v="21963"/>
    <n v="1356"/>
    <n v="349"/>
    <n v="1206"/>
    <n v="51755"/>
    <n v="159273"/>
    <s v="Apple Event September 2025"/>
    <n v="0.14860020216860359"/>
  </r>
  <r>
    <s v="A248"/>
    <x v="3"/>
    <d v="2025-09-14T00:00:00"/>
    <x v="3"/>
    <s v="#AppleEvent #iPhone16"/>
    <n v="12787"/>
    <n v="945"/>
    <n v="974"/>
    <n v="1407"/>
    <n v="4037"/>
    <n v="99182"/>
    <s v="Apple Event September 2025"/>
    <n v="0.14827287209372669"/>
  </r>
  <r>
    <s v="A104"/>
    <x v="0"/>
    <d v="2025-03-23T00:00:00"/>
    <x v="2"/>
    <s v="#AppleDesign #Innovation"/>
    <n v="24711"/>
    <n v="882"/>
    <n v="876"/>
    <n v="2728"/>
    <n v="32015"/>
    <n v="180272"/>
    <s v="iPhone 16 Launch"/>
    <n v="0.1468281263867933"/>
  </r>
  <r>
    <s v="A242"/>
    <x v="1"/>
    <d v="2025-09-12T00:00:00"/>
    <x v="0"/>
    <s v="#AppleMusic #AppleLifestyle"/>
    <n v="15918"/>
    <n v="1114"/>
    <n v="392"/>
    <n v="1641"/>
    <n v="28044"/>
    <n v="118714"/>
    <s v="Apple Event September 2025"/>
    <n v="0.14677291642097814"/>
  </r>
  <r>
    <s v="A155"/>
    <x v="3"/>
    <d v="2024-12-21T00:00:00"/>
    <x v="2"/>
    <s v="#AppleWatchUltra2 #HealthTech"/>
    <n v="12453"/>
    <n v="376"/>
    <n v="320"/>
    <n v="2546"/>
    <n v="22617"/>
    <n v="90138"/>
    <s v="Sustainability Awareness Drive"/>
    <n v="0.14587632297144379"/>
  </r>
  <r>
    <s v="A232"/>
    <x v="0"/>
    <d v="2025-04-29T00:00:00"/>
    <x v="3"/>
    <s v="#AppleWatch #Health"/>
    <n v="16277"/>
    <n v="1109"/>
    <n v="375"/>
    <n v="2225"/>
    <n v="1044"/>
    <n v="121889"/>
    <s v="iPhone 16 Launch"/>
    <n v="0.14571454356012437"/>
  </r>
  <r>
    <s v="A224"/>
    <x v="0"/>
    <d v="2025-09-07T00:00:00"/>
    <x v="1"/>
    <s v="#Sustainability #AppleEarth"/>
    <n v="4472"/>
    <n v="1301"/>
    <n v="956"/>
    <n v="1186"/>
    <n v="3363"/>
    <n v="46471"/>
    <s v="Apple Event September 2025"/>
    <n v="0.14479998278496267"/>
  </r>
  <r>
    <s v="A67"/>
    <x v="0"/>
    <d v="2025-03-29T00:00:00"/>
    <x v="0"/>
    <s v="#AppleWatch #Health"/>
    <n v="19461"/>
    <n v="1382"/>
    <n v="445"/>
    <n v="1307"/>
    <n v="84691"/>
    <n v="151453"/>
    <s v="iPhone 16 Launch"/>
    <n v="0.14055845707909384"/>
  </r>
  <r>
    <s v="A203"/>
    <x v="1"/>
    <d v="2024-11-21T00:00:00"/>
    <x v="2"/>
    <s v="#AppleWatch #Health"/>
    <n v="8229"/>
    <n v="977"/>
    <n v="152"/>
    <n v="1633"/>
    <n v="71447"/>
    <n v="67723"/>
    <s v="MacBook Air M3 Campaign"/>
    <n v="0.13818052950991538"/>
  </r>
  <r>
    <s v="A184"/>
    <x v="1"/>
    <d v="2025-10-13T00:00:00"/>
    <x v="0"/>
    <s v="#AppleEvent #iPhone16"/>
    <n v="19302"/>
    <n v="1367"/>
    <n v="188"/>
    <n v="637"/>
    <n v="31404"/>
    <n v="154044"/>
    <s v="Apple Event September 2025"/>
    <n v="0.13539638025499209"/>
  </r>
  <r>
    <s v="A88"/>
    <x v="3"/>
    <d v="2024-07-07T00:00:00"/>
    <x v="1"/>
    <s v="#MacBookAirM3 #AppleInnovation"/>
    <n v="24625"/>
    <n v="749"/>
    <n v="193"/>
    <n v="1340"/>
    <n v="4890"/>
    <n v="189381"/>
    <s v="Apple Watch Ultra 2 Launch"/>
    <n v="0.13500298340382616"/>
  </r>
  <r>
    <s v="A39"/>
    <x v="3"/>
    <d v="2025-09-13T00:00:00"/>
    <x v="3"/>
    <s v="#AppleMusic #AppleLifestyle"/>
    <n v="17106"/>
    <n v="702"/>
    <n v="459"/>
    <n v="999"/>
    <n v="59627"/>
    <n v="136059"/>
    <s v="Apple Event September 2025"/>
    <n v="0.13425793222058077"/>
  </r>
  <r>
    <s v="A168"/>
    <x v="1"/>
    <d v="2024-11-12T00:00:00"/>
    <x v="2"/>
    <s v="#MacBookAirM3 #AppleInnovation"/>
    <n v="19022"/>
    <n v="541"/>
    <n v="575"/>
    <n v="2063"/>
    <n v="42743"/>
    <n v="150169"/>
    <s v="Apple Watch Ultra 2 Launch"/>
    <n v="0.13410224480418728"/>
  </r>
  <r>
    <s v="A60"/>
    <x v="3"/>
    <d v="2025-01-28T00:00:00"/>
    <x v="1"/>
    <s v="#AppleWatch #Health"/>
    <n v="9239"/>
    <n v="1477"/>
    <n v="631"/>
    <n v="1556"/>
    <n v="11580"/>
    <n v="84738"/>
    <s v="Sustainability Awareness Drive"/>
    <n v="0.13390686586891359"/>
  </r>
  <r>
    <s v="A147"/>
    <x v="1"/>
    <d v="2024-10-21T00:00:00"/>
    <x v="1"/>
    <s v="#iPhone16Launch #AppleEvent"/>
    <n v="20777"/>
    <n v="962"/>
    <n v="308"/>
    <n v="2777"/>
    <n v="25529"/>
    <n v="165354"/>
    <s v="Apple Watch Ultra 2 Launch"/>
    <n v="0.13333212380710477"/>
  </r>
  <r>
    <s v="A72"/>
    <x v="2"/>
    <d v="2025-03-03T00:00:00"/>
    <x v="3"/>
    <s v="#AppleEvent #iPhone16"/>
    <n v="24928"/>
    <n v="214"/>
    <n v="765"/>
    <n v="1556"/>
    <n v="5239"/>
    <n v="194571"/>
    <s v="MacBook Air M3 Campaign"/>
    <n v="0.13314933880177415"/>
  </r>
  <r>
    <s v="A265"/>
    <x v="1"/>
    <d v="2025-02-20T00:00:00"/>
    <x v="3"/>
    <s v="#iPhone16Launch #AppleEvent"/>
    <n v="15703"/>
    <n v="1381"/>
    <n v="639"/>
    <n v="984"/>
    <n v="10967"/>
    <n v="133747"/>
    <s v="MacBook Air M3 Campaign"/>
    <n v="0.13251138343289942"/>
  </r>
  <r>
    <s v="A7"/>
    <x v="3"/>
    <d v="2024-06-24T00:00:00"/>
    <x v="3"/>
    <s v="#AppleMusic #AppleLifestyle"/>
    <n v="7713"/>
    <n v="575"/>
    <n v="417"/>
    <n v="336"/>
    <n v="61660"/>
    <n v="66017"/>
    <s v="iPhone 16 Launch"/>
    <n v="0.13185997546086614"/>
  </r>
  <r>
    <s v="A100"/>
    <x v="3"/>
    <d v="2025-09-25T00:00:00"/>
    <x v="2"/>
    <s v="#ShotOniPhone"/>
    <n v="20564"/>
    <n v="1433"/>
    <n v="488"/>
    <n v="1015"/>
    <n v="24333"/>
    <n v="172130"/>
    <s v="Apple Event September 2025"/>
    <n v="0.13062801371056759"/>
  </r>
  <r>
    <s v="A294"/>
    <x v="2"/>
    <d v="2024-06-19T00:00:00"/>
    <x v="3"/>
    <s v="#iPhonePhotography #ShotOniPhone"/>
    <n v="20444"/>
    <n v="233"/>
    <n v="189"/>
    <n v="2879"/>
    <n v="28185"/>
    <n v="159891"/>
    <s v="iPhone 16 Launch"/>
    <n v="0.13050140408153055"/>
  </r>
  <r>
    <s v="A1"/>
    <x v="1"/>
    <d v="2024-12-23T00:00:00"/>
    <x v="2"/>
    <s v="#AppleWatchUltra2 #HealthTech"/>
    <n v="24516"/>
    <n v="976"/>
    <n v="974"/>
    <n v="2675"/>
    <n v="23275"/>
    <n v="202932"/>
    <s v="Apple Watch Ultra 2 Launch"/>
    <n v="0.13041807107799658"/>
  </r>
  <r>
    <s v="A84"/>
    <x v="0"/>
    <d v="2024-12-09T00:00:00"/>
    <x v="2"/>
    <s v="#MacBookAirM3 #AppleInnovation"/>
    <n v="15051"/>
    <n v="268"/>
    <n v="251"/>
    <n v="783"/>
    <n v="34154"/>
    <n v="119671"/>
    <s v="iPhone 16 Launch"/>
    <n v="0.13010670922779954"/>
  </r>
  <r>
    <s v="A53"/>
    <x v="1"/>
    <d v="2025-02-24T00:00:00"/>
    <x v="2"/>
    <s v="#AppleEvent #iPhone16"/>
    <n v="23949"/>
    <n v="356"/>
    <n v="616"/>
    <n v="1847"/>
    <n v="3144"/>
    <n v="192999"/>
    <s v="iPhone 16 Launch"/>
    <n v="0.12912502137316773"/>
  </r>
  <r>
    <s v="A138"/>
    <x v="3"/>
    <d v="2025-03-29T00:00:00"/>
    <x v="3"/>
    <s v="#AppleDesign #Innovation"/>
    <n v="23508"/>
    <n v="585"/>
    <n v="743"/>
    <n v="2155"/>
    <n v="3704"/>
    <n v="194268"/>
    <s v="iPhone 16 Launch"/>
    <n v="0.1278440093067309"/>
  </r>
  <r>
    <s v="A194"/>
    <x v="1"/>
    <d v="2024-10-02T00:00:00"/>
    <x v="0"/>
    <s v="#AppleMusic #AppleLifestyle"/>
    <n v="5086"/>
    <n v="1336"/>
    <n v="897"/>
    <n v="1715"/>
    <n v="60592"/>
    <n v="57772"/>
    <s v="Sustainability Awareness Drive"/>
    <n v="0.12668766876687668"/>
  </r>
  <r>
    <s v="A135"/>
    <x v="1"/>
    <d v="2024-11-28T00:00:00"/>
    <x v="3"/>
    <s v="#iPhone16Launch #AppleEvent"/>
    <n v="19055"/>
    <n v="443"/>
    <n v="976"/>
    <n v="869"/>
    <n v="75437"/>
    <n v="161863"/>
    <s v="Sustainability Awareness Drive"/>
    <n v="0.12648968572187591"/>
  </r>
  <r>
    <s v="A205"/>
    <x v="0"/>
    <d v="2025-09-23T00:00:00"/>
    <x v="1"/>
    <s v="#AppleEvent #iPhone16"/>
    <n v="17147"/>
    <n v="286"/>
    <n v="291"/>
    <n v="2439"/>
    <n v="45631"/>
    <n v="140494"/>
    <s v="Apple Event September 2025"/>
    <n v="0.12615485358805359"/>
  </r>
  <r>
    <s v="A24"/>
    <x v="0"/>
    <d v="2025-01-23T00:00:00"/>
    <x v="0"/>
    <s v="#iPhone16Launch #AppleEvent"/>
    <n v="23168"/>
    <n v="1265"/>
    <n v="441"/>
    <n v="1612"/>
    <n v="66615"/>
    <n v="197795"/>
    <s v="iPhone 16 Launch"/>
    <n v="0.12575646502692181"/>
  </r>
  <r>
    <s v="A271"/>
    <x v="2"/>
    <d v="2024-10-17T00:00:00"/>
    <x v="0"/>
    <s v="#AppleDesign #Innovation"/>
    <n v="18608"/>
    <n v="1338"/>
    <n v="365"/>
    <n v="2289"/>
    <n v="20785"/>
    <n v="161999"/>
    <s v="Apple Watch Ultra 2 Launch"/>
    <n v="0.12537731714393299"/>
  </r>
  <r>
    <s v="A131"/>
    <x v="0"/>
    <d v="2024-10-21T00:00:00"/>
    <x v="2"/>
    <s v="#iPhone16Launch #AppleEvent"/>
    <n v="20271"/>
    <n v="512"/>
    <n v="286"/>
    <n v="1982"/>
    <n v="43225"/>
    <n v="168335"/>
    <s v="iPhone 16 Launch"/>
    <n v="0.12516113701844536"/>
  </r>
  <r>
    <s v="A36"/>
    <x v="3"/>
    <d v="2025-04-19T00:00:00"/>
    <x v="3"/>
    <s v="#MacBookProM3"/>
    <n v="20384"/>
    <n v="344"/>
    <n v="956"/>
    <n v="655"/>
    <n v="67621"/>
    <n v="175720"/>
    <s v="Sustainability Awareness Drive"/>
    <n v="0.12340086501251991"/>
  </r>
  <r>
    <s v="A144"/>
    <x v="0"/>
    <d v="2024-10-28T00:00:00"/>
    <x v="3"/>
    <s v="#iPhonePhotography #ShotOniPhone"/>
    <n v="8981"/>
    <n v="1138"/>
    <n v="764"/>
    <n v="2555"/>
    <n v="92810"/>
    <n v="88320"/>
    <s v="MacBook Air M3 Campaign"/>
    <n v="0.1232223731884058"/>
  </r>
  <r>
    <s v="A157"/>
    <x v="1"/>
    <d v="2024-07-23T00:00:00"/>
    <x v="0"/>
    <s v="#iPhonePhotography #ShotOniPhone"/>
    <n v="24877"/>
    <n v="262"/>
    <n v="513"/>
    <n v="648"/>
    <n v="47544"/>
    <n v="208280"/>
    <s v="Sustainability Awareness Drive"/>
    <n v="0.12316112924908777"/>
  </r>
  <r>
    <s v="A109"/>
    <x v="2"/>
    <d v="2024-08-08T00:00:00"/>
    <x v="3"/>
    <s v="#AppleWatch #Health"/>
    <n v="24355"/>
    <n v="1087"/>
    <n v="686"/>
    <n v="2426"/>
    <n v="24963"/>
    <n v="212307"/>
    <s v="Apple Watch Ultra 2 Launch"/>
    <n v="0.1230670679723231"/>
  </r>
  <r>
    <s v="A217"/>
    <x v="0"/>
    <d v="2025-09-26T00:00:00"/>
    <x v="3"/>
    <s v="#AppleWatchUltra2 #HealthTech"/>
    <n v="16369"/>
    <n v="1452"/>
    <n v="493"/>
    <n v="1217"/>
    <n v="91440"/>
    <n v="149834"/>
    <s v="Apple Event September 2025"/>
    <n v="0.12222859965027964"/>
  </r>
  <r>
    <s v="A66"/>
    <x v="2"/>
    <d v="2024-07-26T00:00:00"/>
    <x v="1"/>
    <s v="#AppleWatch #Health"/>
    <n v="12176"/>
    <n v="1005"/>
    <n v="862"/>
    <n v="974"/>
    <n v="2285"/>
    <n v="116619"/>
    <s v="iPhone 16 Launch"/>
    <n v="0.12041777068916729"/>
  </r>
  <r>
    <s v="A228"/>
    <x v="2"/>
    <d v="2024-07-01T00:00:00"/>
    <x v="0"/>
    <s v="#AppleDesign #Innovation"/>
    <n v="3761"/>
    <n v="651"/>
    <n v="493"/>
    <n v="2294"/>
    <n v="71696"/>
    <n v="41177"/>
    <s v="Apple Watch Ultra 2 Launch"/>
    <n v="0.11911989702989532"/>
  </r>
  <r>
    <s v="A234"/>
    <x v="0"/>
    <d v="2024-06-01T00:00:00"/>
    <x v="2"/>
    <s v="#AppleMusic #AppleLifestyle"/>
    <n v="19844"/>
    <n v="1022"/>
    <n v="860"/>
    <n v="2570"/>
    <n v="23719"/>
    <n v="182628"/>
    <s v="Sustainability Awareness Drive"/>
    <n v="0.11896313818253498"/>
  </r>
  <r>
    <s v="A107"/>
    <x v="2"/>
    <d v="2024-06-21T00:00:00"/>
    <x v="0"/>
    <s v="#AppleEvent #iPadPro"/>
    <n v="21216"/>
    <n v="1207"/>
    <n v="859"/>
    <n v="328"/>
    <n v="91296"/>
    <n v="196683"/>
    <s v="Sustainability Awareness Drive"/>
    <n v="0.1183732198512327"/>
  </r>
  <r>
    <s v="A63"/>
    <x v="3"/>
    <d v="2024-07-31T00:00:00"/>
    <x v="2"/>
    <s v="#AppleWatchUltra2 #HealthTech"/>
    <n v="12357"/>
    <n v="716"/>
    <n v="599"/>
    <n v="999"/>
    <n v="89591"/>
    <n v="116367"/>
    <s v="Apple Watch Ultra 2 Launch"/>
    <n v="0.11749035379446063"/>
  </r>
  <r>
    <s v="A204"/>
    <x v="3"/>
    <d v="2025-09-22T00:00:00"/>
    <x v="3"/>
    <s v="#ShotOniPhone"/>
    <n v="18509"/>
    <n v="361"/>
    <n v="578"/>
    <n v="1409"/>
    <n v="10569"/>
    <n v="166969"/>
    <s v="Apple Event September 2025"/>
    <n v="0.11647671124580011"/>
  </r>
  <r>
    <s v="A250"/>
    <x v="1"/>
    <d v="2024-06-22T00:00:00"/>
    <x v="1"/>
    <s v="#AppleWatch #Health"/>
    <n v="7342"/>
    <n v="906"/>
    <n v="902"/>
    <n v="1199"/>
    <n v="68488"/>
    <n v="79310"/>
    <s v="Apple Watch Ultra 2 Launch"/>
    <n v="0.1153700668263775"/>
  </r>
  <r>
    <s v="A95"/>
    <x v="2"/>
    <d v="2024-11-08T00:00:00"/>
    <x v="1"/>
    <s v="#AppleEvent #iPadPro"/>
    <n v="23499"/>
    <n v="562"/>
    <n v="964"/>
    <n v="2557"/>
    <n v="56890"/>
    <n v="218686"/>
    <s v="iPhone 16 Launch"/>
    <n v="0.11443347996671026"/>
  </r>
  <r>
    <s v="A143"/>
    <x v="0"/>
    <d v="2024-10-02T00:00:00"/>
    <x v="2"/>
    <s v="#AppleDesign #Innovation"/>
    <n v="15716"/>
    <n v="839"/>
    <n v="639"/>
    <n v="2839"/>
    <n v="349"/>
    <n v="150677"/>
    <s v="Sustainability Awareness Drive"/>
    <n v="0.11411164278556117"/>
  </r>
  <r>
    <s v="A98"/>
    <x v="0"/>
    <d v="2024-06-10T00:00:00"/>
    <x v="0"/>
    <s v="#AppleMusic #AppleLifestyle"/>
    <n v="21561"/>
    <n v="340"/>
    <n v="741"/>
    <n v="986"/>
    <n v="24826"/>
    <n v="198492"/>
    <s v="Apple Watch Ultra 2 Launch"/>
    <n v="0.11407008846704149"/>
  </r>
  <r>
    <s v="A161"/>
    <x v="1"/>
    <d v="2025-10-06T00:00:00"/>
    <x v="0"/>
    <s v="#AppleDesign #Innovation"/>
    <n v="22028"/>
    <n v="355"/>
    <n v="665"/>
    <n v="1859"/>
    <n v="50565"/>
    <n v="202962"/>
    <s v="Apple Event September 2025"/>
    <n v="0.11355820301337197"/>
  </r>
  <r>
    <s v="A27"/>
    <x v="2"/>
    <d v="2024-09-17T00:00:00"/>
    <x v="1"/>
    <s v="#iPhone16Launch #AppleEvent"/>
    <n v="20017"/>
    <n v="495"/>
    <n v="178"/>
    <n v="2683"/>
    <n v="32244"/>
    <n v="182633"/>
    <s v="Apple Watch Ultra 2 Launch"/>
    <n v="0.11328730295182141"/>
  </r>
  <r>
    <s v="A128"/>
    <x v="3"/>
    <d v="2025-01-10T00:00:00"/>
    <x v="3"/>
    <s v="#iPhonePhotography #ShotOniPhone"/>
    <n v="14647"/>
    <n v="1168"/>
    <n v="484"/>
    <n v="2650"/>
    <n v="27217"/>
    <n v="144061"/>
    <s v="iPhone 16 Launch"/>
    <n v="0.11313957281984714"/>
  </r>
  <r>
    <s v="A159"/>
    <x v="3"/>
    <d v="2025-10-05T00:00:00"/>
    <x v="1"/>
    <s v="#AppleMusic #AppleLifestyle"/>
    <n v="21262"/>
    <n v="861"/>
    <n v="676"/>
    <n v="2263"/>
    <n v="12085"/>
    <n v="201731"/>
    <s v="Apple Event September 2025"/>
    <n v="0.11301683925623726"/>
  </r>
  <r>
    <s v="A195"/>
    <x v="1"/>
    <d v="2024-08-15T00:00:00"/>
    <x v="2"/>
    <s v="#iPhone16Launch #AppleEvent"/>
    <n v="15503"/>
    <n v="313"/>
    <n v="388"/>
    <n v="1078"/>
    <n v="11500"/>
    <n v="143754"/>
    <s v="iPhone 16 Launch"/>
    <n v="0.1127203416948398"/>
  </r>
  <r>
    <s v="A71"/>
    <x v="2"/>
    <d v="2024-09-02T00:00:00"/>
    <x v="3"/>
    <s v="#AppleEvent #iPadPro"/>
    <n v="12040"/>
    <n v="1147"/>
    <n v="210"/>
    <n v="885"/>
    <n v="30360"/>
    <n v="119530"/>
    <s v="iPhone 16 Launch"/>
    <n v="0.1120806492094035"/>
  </r>
  <r>
    <s v="A92"/>
    <x v="0"/>
    <d v="2024-10-21T00:00:00"/>
    <x v="1"/>
    <s v="#MacBookAirM3 #AppleInnovation"/>
    <n v="19715"/>
    <n v="1014"/>
    <n v="718"/>
    <n v="1185"/>
    <n v="37625"/>
    <n v="191409"/>
    <s v="Apple Watch Ultra 2 Launch"/>
    <n v="0.11204802282024356"/>
  </r>
  <r>
    <s v="A225"/>
    <x v="2"/>
    <d v="2024-06-20T00:00:00"/>
    <x v="0"/>
    <s v="#AppleWatch #Health"/>
    <n v="21123"/>
    <n v="1343"/>
    <n v="589"/>
    <n v="727"/>
    <n v="87833"/>
    <n v="206703"/>
    <s v="Apple Watch Ultra 2 Launch"/>
    <n v="0.11153684271636116"/>
  </r>
  <r>
    <s v="A19"/>
    <x v="0"/>
    <d v="2024-06-23T00:00:00"/>
    <x v="1"/>
    <s v="#AppleEvent #iPhone16"/>
    <n v="16512"/>
    <n v="1050"/>
    <n v="971"/>
    <n v="1891"/>
    <n v="15865"/>
    <n v="166503"/>
    <s v="iPhone 16 Launch"/>
    <n v="0.1113073037723044"/>
  </r>
  <r>
    <s v="A3"/>
    <x v="3"/>
    <d v="2025-05-12T00:00:00"/>
    <x v="1"/>
    <s v="#AppleDesign #Innovation"/>
    <n v="19308"/>
    <n v="1318"/>
    <n v="795"/>
    <n v="1499"/>
    <n v="52307"/>
    <n v="193087"/>
    <s v="Sustainability Awareness Drive"/>
    <n v="0.11093962825047776"/>
  </r>
  <r>
    <s v="A146"/>
    <x v="1"/>
    <d v="2024-06-05T00:00:00"/>
    <x v="1"/>
    <s v="#iPhonePhotography #ShotOniPhone"/>
    <n v="18907"/>
    <n v="1075"/>
    <n v="675"/>
    <n v="1383"/>
    <n v="17875"/>
    <n v="186649"/>
    <s v="Apple Watch Ultra 2 Launch"/>
    <n v="0.11067297440650634"/>
  </r>
  <r>
    <s v="A284"/>
    <x v="1"/>
    <d v="2024-09-17T00:00:00"/>
    <x v="0"/>
    <s v="#AppleMusic #AppleLifestyle"/>
    <n v="20410"/>
    <n v="1332"/>
    <n v="472"/>
    <n v="1202"/>
    <n v="9418"/>
    <n v="200806"/>
    <s v="Apple Watch Ultra 2 Launch"/>
    <n v="0.11062418453631864"/>
  </r>
  <r>
    <s v="A235"/>
    <x v="0"/>
    <d v="2024-12-22T00:00:00"/>
    <x v="1"/>
    <s v="#AppleEvent #iPadPro"/>
    <n v="20117"/>
    <n v="1143"/>
    <n v="713"/>
    <n v="1739"/>
    <n v="34444"/>
    <n v="198670"/>
    <s v="MacBook Air M3 Campaign"/>
    <n v="0.11060049328031409"/>
  </r>
  <r>
    <s v="A282"/>
    <x v="0"/>
    <d v="2024-10-03T00:00:00"/>
    <x v="2"/>
    <s v="#AppleEvent #iPadPro"/>
    <n v="22618"/>
    <n v="641"/>
    <n v="416"/>
    <n v="1530"/>
    <n v="18395"/>
    <n v="215211"/>
    <s v="MacBook Air M3 Campaign"/>
    <n v="0.1100083174187193"/>
  </r>
  <r>
    <s v="A258"/>
    <x v="2"/>
    <d v="2024-08-05T00:00:00"/>
    <x v="0"/>
    <s v="#AppleWatchUltra2 #HealthTech"/>
    <n v="20935"/>
    <n v="1104"/>
    <n v="876"/>
    <n v="1270"/>
    <n v="21454"/>
    <n v="208722"/>
    <s v="Sustainability Awareness Drive"/>
    <n v="0.10978718103506099"/>
  </r>
  <r>
    <s v="A153"/>
    <x v="3"/>
    <d v="2025-01-01T00:00:00"/>
    <x v="0"/>
    <s v="#MacBookAirM3 #AppleInnovation"/>
    <n v="24574"/>
    <n v="909"/>
    <n v="280"/>
    <n v="2009"/>
    <n v="6221"/>
    <n v="236910"/>
    <s v="MacBook Air M3 Campaign"/>
    <n v="0.10874593727575872"/>
  </r>
  <r>
    <s v="A33"/>
    <x v="0"/>
    <d v="2025-09-11T00:00:00"/>
    <x v="3"/>
    <s v="#iPhone16Launch #AppleEvent"/>
    <n v="10175"/>
    <n v="342"/>
    <n v="825"/>
    <n v="2904"/>
    <n v="15954"/>
    <n v="104324"/>
    <s v="Apple Event September 2025"/>
    <n v="0.10871899083624094"/>
  </r>
  <r>
    <s v="A183"/>
    <x v="2"/>
    <d v="2024-12-17T00:00:00"/>
    <x v="2"/>
    <s v="#AppleWatch #Health"/>
    <n v="20030"/>
    <n v="485"/>
    <n v="888"/>
    <n v="1643"/>
    <n v="4322"/>
    <n v="196995"/>
    <s v="Sustainability Awareness Drive"/>
    <n v="0.10864742759968526"/>
  </r>
  <r>
    <s v="A52"/>
    <x v="2"/>
    <d v="2025-09-19T00:00:00"/>
    <x v="2"/>
    <s v="#AppleWatch #Health"/>
    <n v="19100"/>
    <n v="619"/>
    <n v="297"/>
    <n v="2312"/>
    <n v="9730"/>
    <n v="184832"/>
    <s v="Apple Event September 2025"/>
    <n v="0.10829293628808864"/>
  </r>
  <r>
    <s v="A199"/>
    <x v="3"/>
    <d v="2025-09-20T00:00:00"/>
    <x v="2"/>
    <s v="#AppleWatch #Health"/>
    <n v="12267"/>
    <n v="1487"/>
    <n v="489"/>
    <n v="2748"/>
    <n v="34685"/>
    <n v="131736"/>
    <s v="Apple Event September 2025"/>
    <n v="0.1081177506528208"/>
  </r>
  <r>
    <s v="A262"/>
    <x v="2"/>
    <d v="2025-01-18T00:00:00"/>
    <x v="1"/>
    <s v="#iPhonePhotography #ShotOniPhone"/>
    <n v="22673"/>
    <n v="1053"/>
    <n v="169"/>
    <n v="1566"/>
    <n v="9417"/>
    <n v="221187"/>
    <s v="iPhone 16 Launch"/>
    <n v="0.10803076130152314"/>
  </r>
  <r>
    <s v="A268"/>
    <x v="0"/>
    <d v="2025-04-13T00:00:00"/>
    <x v="3"/>
    <s v="#MacBookProM3"/>
    <n v="24700"/>
    <n v="327"/>
    <n v="999"/>
    <n v="994"/>
    <n v="59400"/>
    <n v="243502"/>
    <s v="Sustainability Awareness Drive"/>
    <n v="0.10688207899729776"/>
  </r>
  <r>
    <s v="A180"/>
    <x v="1"/>
    <d v="2025-10-11T00:00:00"/>
    <x v="3"/>
    <s v="#AppleWatch #Health"/>
    <n v="15623"/>
    <n v="869"/>
    <n v="423"/>
    <n v="371"/>
    <n v="47579"/>
    <n v="158516"/>
    <s v="Apple Event September 2025"/>
    <n v="0.10670847106916652"/>
  </r>
  <r>
    <s v="A214"/>
    <x v="1"/>
    <d v="2024-12-23T00:00:00"/>
    <x v="0"/>
    <s v="#AppleDesign #Innovation"/>
    <n v="18616"/>
    <n v="1277"/>
    <n v="734"/>
    <n v="2249"/>
    <n v="3399"/>
    <n v="193515"/>
    <s v="iPhone 16 Launch"/>
    <n v="0.10659122031883833"/>
  </r>
  <r>
    <s v="A272"/>
    <x v="0"/>
    <d v="2025-03-27T00:00:00"/>
    <x v="1"/>
    <s v="#iPhonePhotography #ShotOniPhone"/>
    <n v="14819"/>
    <n v="1432"/>
    <n v="152"/>
    <n v="961"/>
    <n v="39154"/>
    <n v="154793"/>
    <s v="iPhone 16 Launch"/>
    <n v="0.10596732410380315"/>
  </r>
  <r>
    <s v="A198"/>
    <x v="0"/>
    <d v="2025-09-19T00:00:00"/>
    <x v="3"/>
    <s v="#AppleEvent #iPadPro"/>
    <n v="14772"/>
    <n v="1030"/>
    <n v="508"/>
    <n v="1876"/>
    <n v="8882"/>
    <n v="155142"/>
    <s v="Apple Event September 2025"/>
    <n v="0.10512949426976577"/>
  </r>
  <r>
    <s v="A296"/>
    <x v="0"/>
    <d v="2025-02-11T00:00:00"/>
    <x v="3"/>
    <s v="#Sustainability #AppleEarth"/>
    <n v="3619"/>
    <n v="1376"/>
    <n v="410"/>
    <n v="2499"/>
    <n v="58146"/>
    <n v="52149"/>
    <s v="Apple Watch Ultra 2 Launch"/>
    <n v="0.10364532397553165"/>
  </r>
  <r>
    <s v="A240"/>
    <x v="0"/>
    <d v="2025-09-11T00:00:00"/>
    <x v="0"/>
    <s v="#AppleMusic #AppleLifestyle"/>
    <n v="21901"/>
    <n v="1308"/>
    <n v="724"/>
    <n v="2183"/>
    <n v="15996"/>
    <n v="230961"/>
    <s v="Apple Event September 2025"/>
    <n v="0.10362355549205277"/>
  </r>
  <r>
    <s v="A243"/>
    <x v="0"/>
    <d v="2025-03-06T00:00:00"/>
    <x v="1"/>
    <s v="#iPhone16Launch #AppleEvent"/>
    <n v="22119"/>
    <n v="899"/>
    <n v="642"/>
    <n v="410"/>
    <n v="49490"/>
    <n v="229420"/>
    <s v="iPhone 16 Launch"/>
    <n v="0.10312963124400662"/>
  </r>
  <r>
    <s v="A290"/>
    <x v="0"/>
    <d v="2025-09-20T00:00:00"/>
    <x v="2"/>
    <s v="#ShotOniPhone"/>
    <n v="24422"/>
    <n v="327"/>
    <n v="481"/>
    <n v="2371"/>
    <n v="35340"/>
    <n v="245244"/>
    <s v="Apple Event September 2025"/>
    <n v="0.10287713460879777"/>
  </r>
  <r>
    <s v="A237"/>
    <x v="2"/>
    <d v="2024-10-22T00:00:00"/>
    <x v="3"/>
    <s v="#AppleDesign #Innovation"/>
    <n v="7622"/>
    <n v="529"/>
    <n v="720"/>
    <n v="1015"/>
    <n v="71322"/>
    <n v="86819"/>
    <s v="MacBook Air M3 Campaign"/>
    <n v="0.10217809465669957"/>
  </r>
  <r>
    <s v="A166"/>
    <x v="3"/>
    <d v="2025-02-16T00:00:00"/>
    <x v="1"/>
    <s v="#AppleEvent #iPhone16"/>
    <n v="24195"/>
    <n v="888"/>
    <n v="165"/>
    <n v="1559"/>
    <n v="11596"/>
    <n v="249988"/>
    <s v="Sustainability Awareness Drive"/>
    <n v="0.10099684784869674"/>
  </r>
  <r>
    <s v="A122"/>
    <x v="3"/>
    <d v="2024-10-02T00:00:00"/>
    <x v="0"/>
    <s v="#iPhonePhotography #ShotOniPhone"/>
    <n v="9350"/>
    <n v="1024"/>
    <n v="550"/>
    <n v="2123"/>
    <n v="53916"/>
    <n v="108785"/>
    <s v="Sustainability Awareness Drive"/>
    <n v="0.10041825619340902"/>
  </r>
  <r>
    <s v="A249"/>
    <x v="3"/>
    <d v="2024-07-18T00:00:00"/>
    <x v="0"/>
    <s v="#MacBookProM3"/>
    <n v="11111"/>
    <n v="1222"/>
    <n v="367"/>
    <n v="507"/>
    <n v="14129"/>
    <n v="127163"/>
    <s v="MacBook Air M3 Campaign"/>
    <n v="9.9871818060284834E-2"/>
  </r>
  <r>
    <s v="A165"/>
    <x v="2"/>
    <d v="2025-10-07T00:00:00"/>
    <x v="3"/>
    <s v="#AppleWatch #Health"/>
    <n v="19660"/>
    <n v="1307"/>
    <n v="310"/>
    <n v="2802"/>
    <n v="22171"/>
    <n v="213359"/>
    <s v="Apple Event September 2025"/>
    <n v="9.9723939463533293E-2"/>
  </r>
  <r>
    <s v="A10"/>
    <x v="2"/>
    <d v="2025-03-11T00:00:00"/>
    <x v="0"/>
    <s v="#iPhone16Launch #AppleEvent"/>
    <n v="20222"/>
    <n v="712"/>
    <n v="604"/>
    <n v="1272"/>
    <n v="71598"/>
    <n v="216422"/>
    <s v="Sustainability Awareness Drive"/>
    <n v="9.9518533235992648E-2"/>
  </r>
  <r>
    <s v="A103"/>
    <x v="2"/>
    <d v="2025-09-27T00:00:00"/>
    <x v="1"/>
    <s v="#MacBookAirM3 #AppleInnovation"/>
    <n v="18521"/>
    <n v="1027"/>
    <n v="230"/>
    <n v="1247"/>
    <n v="39588"/>
    <n v="200928"/>
    <s v="Apple Event September 2025"/>
    <n v="9.8433269628921807E-2"/>
  </r>
  <r>
    <s v="A118"/>
    <x v="2"/>
    <d v="2024-11-04T00:00:00"/>
    <x v="0"/>
    <s v="#ShotOniPhone"/>
    <n v="14234"/>
    <n v="1013"/>
    <n v="437"/>
    <n v="338"/>
    <n v="67754"/>
    <n v="160030"/>
    <s v="Sustainability Awareness Drive"/>
    <n v="9.8006623758045364E-2"/>
  </r>
  <r>
    <s v="A253"/>
    <x v="0"/>
    <d v="2025-09-16T00:00:00"/>
    <x v="2"/>
    <s v="#MacBookProM3"/>
    <n v="16043"/>
    <n v="595"/>
    <n v="923"/>
    <n v="1194"/>
    <n v="52613"/>
    <n v="179978"/>
    <s v="Apple Event September 2025"/>
    <n v="9.757303670448611E-2"/>
  </r>
  <r>
    <s v="A114"/>
    <x v="2"/>
    <d v="2024-11-14T00:00:00"/>
    <x v="2"/>
    <s v="#AppleDesign #Innovation"/>
    <n v="6300"/>
    <n v="1213"/>
    <n v="720"/>
    <n v="1037"/>
    <n v="39569"/>
    <n v="85272"/>
    <s v="iPhone 16 Launch"/>
    <n v="9.6549863964724647E-2"/>
  </r>
  <r>
    <s v="A208"/>
    <x v="0"/>
    <d v="2024-06-24T00:00:00"/>
    <x v="1"/>
    <s v="#MacBookAirM3 #AppleInnovation"/>
    <n v="5596"/>
    <n v="1231"/>
    <n v="473"/>
    <n v="2251"/>
    <n v="43705"/>
    <n v="75643"/>
    <s v="Apple Watch Ultra 2 Launch"/>
    <n v="9.6505955607260427E-2"/>
  </r>
  <r>
    <s v="A263"/>
    <x v="3"/>
    <d v="2024-08-20T00:00:00"/>
    <x v="1"/>
    <s v="#ShotOniPhone"/>
    <n v="2846"/>
    <n v="792"/>
    <n v="902"/>
    <n v="2469"/>
    <n v="12130"/>
    <n v="47151"/>
    <s v="Apple Watch Ultra 2 Launch"/>
    <n v="9.6286399015927546E-2"/>
  </r>
  <r>
    <s v="A35"/>
    <x v="2"/>
    <d v="2024-11-30T00:00:00"/>
    <x v="0"/>
    <s v="#AppleEvent #iPhone16"/>
    <n v="14763"/>
    <n v="864"/>
    <n v="336"/>
    <n v="1493"/>
    <n v="33310"/>
    <n v="165932"/>
    <s v="iPhone 16 Launch"/>
    <n v="9.6202058674637797E-2"/>
  </r>
  <r>
    <s v="A26"/>
    <x v="2"/>
    <d v="2025-04-05T00:00:00"/>
    <x v="0"/>
    <s v="#AppleWatch #Health"/>
    <n v="22384"/>
    <n v="601"/>
    <n v="943"/>
    <n v="515"/>
    <n v="41309"/>
    <n v="249373"/>
    <s v="Apple Watch Ultra 2 Launch"/>
    <n v="9.5952649244304716E-2"/>
  </r>
  <r>
    <s v="A238"/>
    <x v="2"/>
    <d v="2024-07-16T00:00:00"/>
    <x v="1"/>
    <s v="#iPhone16Launch #AppleEvent"/>
    <n v="8767"/>
    <n v="974"/>
    <n v="733"/>
    <n v="1587"/>
    <n v="74927"/>
    <n v="113770"/>
    <s v="Apple Watch Ultra 2 Launch"/>
    <n v="9.2062933989628198E-2"/>
  </r>
  <r>
    <s v="A56"/>
    <x v="0"/>
    <d v="2024-12-18T00:00:00"/>
    <x v="1"/>
    <s v="#iPhone16Launch #AppleEvent"/>
    <n v="14775"/>
    <n v="1220"/>
    <n v="640"/>
    <n v="1547"/>
    <n v="28527"/>
    <n v="183660"/>
    <s v="MacBook Air M3 Campaign"/>
    <n v="9.0574975498203203E-2"/>
  </r>
  <r>
    <s v="A266"/>
    <x v="2"/>
    <d v="2024-11-25T00:00:00"/>
    <x v="0"/>
    <s v="#iPhone16Launch #AppleEvent"/>
    <n v="17385"/>
    <n v="831"/>
    <n v="568"/>
    <n v="2227"/>
    <n v="49351"/>
    <n v="207450"/>
    <s v="Sustainability Awareness Drive"/>
    <n v="9.0547119787900698E-2"/>
  </r>
  <r>
    <s v="A179"/>
    <x v="3"/>
    <d v="2024-07-15T00:00:00"/>
    <x v="2"/>
    <s v="#AppleEvent #iPhone16"/>
    <n v="17034"/>
    <n v="231"/>
    <n v="290"/>
    <n v="1387"/>
    <n v="63550"/>
    <n v="198280"/>
    <s v="MacBook Air M3 Campaign"/>
    <n v="8.8536413153116805E-2"/>
  </r>
  <r>
    <s v="A2"/>
    <x v="0"/>
    <d v="2025-09-03T00:00:00"/>
    <x v="2"/>
    <s v="#MacBookAirM3 #AppleInnovation"/>
    <n v="4779"/>
    <n v="1110"/>
    <n v="436"/>
    <n v="1574"/>
    <n v="77167"/>
    <n v="71585"/>
    <s v="Apple Event September 2025"/>
    <n v="8.8356499266606131E-2"/>
  </r>
  <r>
    <s v="A86"/>
    <x v="1"/>
    <d v="2025-01-27T00:00:00"/>
    <x v="3"/>
    <s v="#iPhone16Launch #AppleEvent"/>
    <n v="8949"/>
    <n v="1477"/>
    <n v="424"/>
    <n v="1030"/>
    <n v="58052"/>
    <n v="123310"/>
    <s v="Apple Watch Ultra 2 Launch"/>
    <n v="8.7989619657773091E-2"/>
  </r>
  <r>
    <s v="A57"/>
    <x v="0"/>
    <d v="2024-10-21T00:00:00"/>
    <x v="0"/>
    <s v="#AppleEvent #iPhone16"/>
    <n v="12015"/>
    <n v="1196"/>
    <n v="998"/>
    <n v="1848"/>
    <n v="44739"/>
    <n v="161750"/>
    <s v="MacBook Air M3 Campaign"/>
    <n v="8.7845440494590421E-2"/>
  </r>
  <r>
    <s v="A297"/>
    <x v="2"/>
    <d v="2024-12-24T00:00:00"/>
    <x v="2"/>
    <s v="#MacBookProM3"/>
    <n v="10512"/>
    <n v="1197"/>
    <n v="544"/>
    <n v="2012"/>
    <n v="10245"/>
    <n v="140102"/>
    <s v="Apple Watch Ultra 2 Launch"/>
    <n v="8.745770938316369E-2"/>
  </r>
  <r>
    <s v="A137"/>
    <x v="3"/>
    <d v="2024-07-31T00:00:00"/>
    <x v="3"/>
    <s v="#AppleEvent #iPadPro"/>
    <n v="13314"/>
    <n v="274"/>
    <n v="626"/>
    <n v="2280"/>
    <n v="14639"/>
    <n v="163008"/>
    <s v="iPhone 16 Launch"/>
    <n v="8.7198174322732622E-2"/>
  </r>
  <r>
    <s v="A29"/>
    <x v="0"/>
    <d v="2025-09-10T00:00:00"/>
    <x v="3"/>
    <s v="#MacBookProM3"/>
    <n v="9266"/>
    <n v="999"/>
    <n v="928"/>
    <n v="2700"/>
    <n v="12264"/>
    <n v="128397"/>
    <s v="Apple Event September 2025"/>
    <n v="8.7174933993784898E-2"/>
  </r>
  <r>
    <s v="A34"/>
    <x v="2"/>
    <d v="2025-09-12T00:00:00"/>
    <x v="1"/>
    <s v="#AppleDesign #Innovation"/>
    <n v="17158"/>
    <n v="1192"/>
    <n v="262"/>
    <n v="2016"/>
    <n v="28771"/>
    <n v="216037"/>
    <s v="Apple Event September 2025"/>
    <n v="8.6151909163708074E-2"/>
  </r>
  <r>
    <s v="A64"/>
    <x v="3"/>
    <d v="2024-08-17T00:00:00"/>
    <x v="0"/>
    <s v="#ShotOniPhone"/>
    <n v="19154"/>
    <n v="1064"/>
    <n v="650"/>
    <n v="747"/>
    <n v="42667"/>
    <n v="242332"/>
    <s v="Sustainability Awareness Drive"/>
    <n v="8.6113266097750191E-2"/>
  </r>
  <r>
    <s v="A55"/>
    <x v="1"/>
    <d v="2024-06-17T00:00:00"/>
    <x v="3"/>
    <s v="#AppleWatchUltra2 #HealthTech"/>
    <n v="6976"/>
    <n v="1320"/>
    <n v="393"/>
    <n v="2285"/>
    <n v="14049"/>
    <n v="101367"/>
    <s v="MacBook Air M3 Campaign"/>
    <n v="8.5718231771681114E-2"/>
  </r>
  <r>
    <s v="A259"/>
    <x v="0"/>
    <d v="2025-02-10T00:00:00"/>
    <x v="3"/>
    <s v="#MacBookAirM3 #AppleInnovation"/>
    <n v="16309"/>
    <n v="1449"/>
    <n v="838"/>
    <n v="2434"/>
    <n v="2940"/>
    <n v="217953"/>
    <s v="iPhone 16 Launch"/>
    <n v="8.5321147219813445E-2"/>
  </r>
  <r>
    <s v="A25"/>
    <x v="0"/>
    <d v="2025-09-09T00:00:00"/>
    <x v="0"/>
    <s v="#AppleWatch #Health"/>
    <n v="15772"/>
    <n v="288"/>
    <n v="520"/>
    <n v="1585"/>
    <n v="59182"/>
    <n v="194351"/>
    <s v="Apple Event September 2025"/>
    <n v="8.5309568769905988E-2"/>
  </r>
  <r>
    <s v="A213"/>
    <x v="3"/>
    <d v="2025-05-01T00:00:00"/>
    <x v="1"/>
    <s v="#iPhone16Launch #AppleEvent"/>
    <n v="10258"/>
    <n v="527"/>
    <n v="854"/>
    <n v="2068"/>
    <n v="45632"/>
    <n v="136546"/>
    <s v="MacBook Air M3 Campaign"/>
    <n v="8.5238674146441498E-2"/>
  </r>
  <r>
    <s v="A255"/>
    <x v="3"/>
    <d v="2025-04-03T00:00:00"/>
    <x v="2"/>
    <s v="#Sustainability #AppleEarth"/>
    <n v="10837"/>
    <n v="1004"/>
    <n v="922"/>
    <n v="1108"/>
    <n v="36807"/>
    <n v="150350"/>
    <s v="Sustainability Awareness Drive"/>
    <n v="8.4888593282341204E-2"/>
  </r>
  <r>
    <s v="A8"/>
    <x v="3"/>
    <d v="2024-07-13T00:00:00"/>
    <x v="0"/>
    <s v="#AppleWatch #Health"/>
    <n v="18639"/>
    <n v="1360"/>
    <n v="898"/>
    <n v="2011"/>
    <n v="42841"/>
    <n v="247779"/>
    <s v="iPhone 16 Launch"/>
    <n v="8.4337252148083575E-2"/>
  </r>
  <r>
    <s v="A215"/>
    <x v="1"/>
    <d v="2025-09-25T00:00:00"/>
    <x v="0"/>
    <s v="#iPhonePhotography #ShotOniPhone"/>
    <n v="8371"/>
    <n v="960"/>
    <n v="548"/>
    <n v="2936"/>
    <n v="82543"/>
    <n v="119973"/>
    <s v="Apple Event September 2025"/>
    <n v="8.2343527293641069E-2"/>
  </r>
  <r>
    <s v="A117"/>
    <x v="3"/>
    <d v="2024-11-04T00:00:00"/>
    <x v="2"/>
    <s v="#AppleEvent #iPhone16"/>
    <n v="14015"/>
    <n v="978"/>
    <n v="196"/>
    <n v="2744"/>
    <n v="20190"/>
    <n v="186470"/>
    <s v="Sustainability Awareness Drive"/>
    <n v="8.1455462004611998E-2"/>
  </r>
  <r>
    <s v="A176"/>
    <x v="2"/>
    <d v="2025-10-09T00:00:00"/>
    <x v="3"/>
    <s v="#AppleDesign #Innovation"/>
    <n v="18748"/>
    <n v="634"/>
    <n v="400"/>
    <n v="1667"/>
    <n v="75813"/>
    <n v="244456"/>
    <s v="Apple Event September 2025"/>
    <n v="8.0922538207284747E-2"/>
  </r>
  <r>
    <s v="A175"/>
    <x v="0"/>
    <d v="2025-10-08T00:00:00"/>
    <x v="1"/>
    <s v="#AppleEvent #iPhone16"/>
    <n v="17745"/>
    <n v="414"/>
    <n v="563"/>
    <n v="2733"/>
    <n v="995"/>
    <n v="231648"/>
    <s v="Apple Event September 2025"/>
    <n v="8.0820900676889074E-2"/>
  </r>
  <r>
    <s v="A212"/>
    <x v="1"/>
    <d v="2025-03-03T00:00:00"/>
    <x v="0"/>
    <s v="#AppleWatchUltra2 #HealthTech"/>
    <n v="9561"/>
    <n v="642"/>
    <n v="581"/>
    <n v="2572"/>
    <n v="38552"/>
    <n v="133680"/>
    <s v="Apple Watch Ultra 2 Launch"/>
    <n v="8.0670257330939563E-2"/>
  </r>
  <r>
    <s v="A172"/>
    <x v="3"/>
    <d v="2024-08-14T00:00:00"/>
    <x v="3"/>
    <s v="#Sustainability #AppleEarth"/>
    <n v="10150"/>
    <n v="526"/>
    <n v="888"/>
    <n v="1313"/>
    <n v="51605"/>
    <n v="143409"/>
    <s v="Apple Watch Ultra 2 Launch"/>
    <n v="8.0636501195880311E-2"/>
  </r>
  <r>
    <s v="A191"/>
    <x v="1"/>
    <d v="2025-10-14T00:00:00"/>
    <x v="3"/>
    <s v="#iPhonePhotography #ShotOniPhone"/>
    <n v="9673"/>
    <n v="393"/>
    <n v="846"/>
    <n v="1028"/>
    <n v="55556"/>
    <n v="136652"/>
    <s v="Apple Event September 2025"/>
    <n v="7.9852471972601938E-2"/>
  </r>
  <r>
    <s v="A227"/>
    <x v="3"/>
    <d v="2024-06-12T00:00:00"/>
    <x v="1"/>
    <s v="#MacBookAirM3 #AppleInnovation"/>
    <n v="17679"/>
    <n v="690"/>
    <n v="451"/>
    <n v="2195"/>
    <n v="4390"/>
    <n v="235804"/>
    <s v="MacBook Air M3 Campaign"/>
    <n v="7.9812047293514959E-2"/>
  </r>
  <r>
    <s v="A267"/>
    <x v="0"/>
    <d v="2024-10-04T00:00:00"/>
    <x v="0"/>
    <s v="#AppleEvent #iPhone16"/>
    <n v="15746"/>
    <n v="258"/>
    <n v="839"/>
    <n v="2656"/>
    <n v="66614"/>
    <n v="213724"/>
    <s v="Sustainability Awareness Drive"/>
    <n v="7.8807246729426739E-2"/>
  </r>
  <r>
    <s v="A59"/>
    <x v="1"/>
    <d v="2024-06-22T00:00:00"/>
    <x v="2"/>
    <s v="#AppleWatch #Health"/>
    <n v="16430"/>
    <n v="488"/>
    <n v="514"/>
    <n v="1436"/>
    <n v="30059"/>
    <n v="223305"/>
    <s v="iPhone 16 Launch"/>
    <n v="7.8063634938760881E-2"/>
  </r>
  <r>
    <s v="A124"/>
    <x v="1"/>
    <d v="2025-04-06T00:00:00"/>
    <x v="1"/>
    <s v="#iPhonePhotography #ShotOniPhone"/>
    <n v="8238"/>
    <n v="766"/>
    <n v="235"/>
    <n v="1273"/>
    <n v="4706"/>
    <n v="119141"/>
    <s v="iPhone 16 Launch"/>
    <n v="7.7546772311798629E-2"/>
  </r>
  <r>
    <s v="A101"/>
    <x v="1"/>
    <d v="2024-10-18T00:00:00"/>
    <x v="3"/>
    <s v="#MacBookAirM3 #AppleInnovation"/>
    <n v="6892"/>
    <n v="1184"/>
    <n v="925"/>
    <n v="1062"/>
    <n v="75008"/>
    <n v="116260"/>
    <s v="MacBook Air M3 Campaign"/>
    <n v="7.7421297092723204E-2"/>
  </r>
  <r>
    <s v="A278"/>
    <x v="2"/>
    <d v="2024-11-26T00:00:00"/>
    <x v="0"/>
    <s v="#AppleMusic #AppleLifestyle"/>
    <n v="14607"/>
    <n v="1458"/>
    <n v="478"/>
    <n v="334"/>
    <n v="49257"/>
    <n v="214668"/>
    <s v="iPhone 16 Launch"/>
    <n v="7.7063185942944451E-2"/>
  </r>
  <r>
    <s v="A11"/>
    <x v="1"/>
    <d v="2025-02-02T00:00:00"/>
    <x v="3"/>
    <s v="#AppleEvent #iPadPro"/>
    <n v="12136"/>
    <n v="1117"/>
    <n v="834"/>
    <n v="892"/>
    <n v="24675"/>
    <n v="183273"/>
    <s v="Sustainability Awareness Drive"/>
    <n v="7.6863476889667326E-2"/>
  </r>
  <r>
    <s v="A277"/>
    <x v="3"/>
    <d v="2025-04-06T00:00:00"/>
    <x v="2"/>
    <s v="#MacBookProM3"/>
    <n v="14941"/>
    <n v="1424"/>
    <n v="238"/>
    <n v="1054"/>
    <n v="20516"/>
    <n v="216048"/>
    <s v="MacBook Air M3 Campaign"/>
    <n v="7.6848663260016298E-2"/>
  </r>
  <r>
    <s v="A116"/>
    <x v="0"/>
    <d v="2025-03-18T00:00:00"/>
    <x v="2"/>
    <s v="#AppleWatch #Health"/>
    <n v="5818"/>
    <n v="1252"/>
    <n v="687"/>
    <n v="2300"/>
    <n v="25081"/>
    <n v="101212"/>
    <s v="MacBook Air M3 Campaign"/>
    <n v="7.6641109749832043E-2"/>
  </r>
  <r>
    <s v="A112"/>
    <x v="1"/>
    <d v="2024-10-05T00:00:00"/>
    <x v="3"/>
    <s v="#MacBookAirM3 #AppleInnovation"/>
    <n v="16388"/>
    <n v="1208"/>
    <n v="417"/>
    <n v="2306"/>
    <n v="16865"/>
    <n v="236733"/>
    <s v="Apple Watch Ultra 2 Launch"/>
    <n v="7.6089940988370866E-2"/>
  </r>
  <r>
    <s v="A211"/>
    <x v="1"/>
    <d v="2025-09-24T00:00:00"/>
    <x v="2"/>
    <s v="#MacBookProM3"/>
    <n v="11795"/>
    <n v="958"/>
    <n v="814"/>
    <n v="301"/>
    <n v="12564"/>
    <n v="179999"/>
    <s v="Apple Event September 2025"/>
    <n v="7.5372640959116444E-2"/>
  </r>
  <r>
    <s v="A233"/>
    <x v="0"/>
    <d v="2025-03-08T00:00:00"/>
    <x v="2"/>
    <s v="#AppleWatchUltra2 #HealthTech"/>
    <n v="5812"/>
    <n v="934"/>
    <n v="302"/>
    <n v="2356"/>
    <n v="37437"/>
    <n v="93551"/>
    <s v="Apple Watch Ultra 2 Launch"/>
    <n v="7.5338585370546551E-2"/>
  </r>
  <r>
    <s v="A239"/>
    <x v="1"/>
    <d v="2025-09-10T00:00:00"/>
    <x v="2"/>
    <s v="#MacBookAirM3 #AppleInnovation"/>
    <n v="13613"/>
    <n v="350"/>
    <n v="809"/>
    <n v="2013"/>
    <n v="20471"/>
    <n v="198038"/>
    <s v="Apple Event September 2025"/>
    <n v="7.4591745018632791E-2"/>
  </r>
  <r>
    <s v="A17"/>
    <x v="0"/>
    <d v="2025-05-05T00:00:00"/>
    <x v="1"/>
    <s v="#AppleEvent #iPhone16"/>
    <n v="10415"/>
    <n v="1388"/>
    <n v="725"/>
    <n v="2462"/>
    <n v="53082"/>
    <n v="168267"/>
    <s v="MacBook Air M3 Campaign"/>
    <n v="7.4453101321114656E-2"/>
  </r>
  <r>
    <s v="A252"/>
    <x v="3"/>
    <d v="2025-04-28T00:00:00"/>
    <x v="3"/>
    <s v="#AppleEvent #iPhone16"/>
    <n v="10659"/>
    <n v="1342"/>
    <n v="408"/>
    <n v="709"/>
    <n v="16309"/>
    <n v="168803"/>
    <s v="Sustainability Awareness Drive"/>
    <n v="7.3511726687321907E-2"/>
  </r>
  <r>
    <s v="A209"/>
    <x v="2"/>
    <d v="2025-03-19T00:00:00"/>
    <x v="3"/>
    <s v="#AppleEvent #iPadPro"/>
    <n v="13475"/>
    <n v="1032"/>
    <n v="295"/>
    <n v="541"/>
    <n v="43666"/>
    <n v="202396"/>
    <s v="MacBook Air M3 Campaign"/>
    <n v="7.3133856400324118E-2"/>
  </r>
  <r>
    <s v="A18"/>
    <x v="0"/>
    <d v="2024-08-19T00:00:00"/>
    <x v="2"/>
    <s v="#AppleWatch #Health"/>
    <n v="15550"/>
    <n v="204"/>
    <n v="279"/>
    <n v="1646"/>
    <n v="35819"/>
    <n v="219436"/>
    <s v="Apple Watch Ultra 2 Launch"/>
    <n v="7.306458375107093E-2"/>
  </r>
  <r>
    <s v="A229"/>
    <x v="3"/>
    <d v="2024-07-03T00:00:00"/>
    <x v="0"/>
    <s v="#MacBookAirM3 #AppleInnovation"/>
    <n v="12167"/>
    <n v="364"/>
    <n v="160"/>
    <n v="616"/>
    <n v="42228"/>
    <n v="175832"/>
    <s v="Sustainability Awareness Drive"/>
    <n v="7.2176850630146963E-2"/>
  </r>
  <r>
    <s v="A89"/>
    <x v="0"/>
    <d v="2025-09-23T00:00:00"/>
    <x v="2"/>
    <s v="#Sustainability #AppleEarth"/>
    <n v="10017"/>
    <n v="1357"/>
    <n v="966"/>
    <n v="2871"/>
    <n v="14800"/>
    <n v="171691"/>
    <s v="Apple Event September 2025"/>
    <n v="7.1873307278774071E-2"/>
  </r>
  <r>
    <s v="A177"/>
    <x v="1"/>
    <d v="2024-07-10T00:00:00"/>
    <x v="2"/>
    <s v="#iPhonePhotography #ShotOniPhone"/>
    <n v="8809"/>
    <n v="1151"/>
    <n v="908"/>
    <n v="883"/>
    <n v="42921"/>
    <n v="151279"/>
    <s v="MacBook Air M3 Campaign"/>
    <n v="7.1840771025720687E-2"/>
  </r>
  <r>
    <s v="A192"/>
    <x v="1"/>
    <d v="2025-10-15T00:00:00"/>
    <x v="2"/>
    <s v="#AppleWatch #Health"/>
    <n v="8882"/>
    <n v="701"/>
    <n v="421"/>
    <n v="2343"/>
    <n v="13588"/>
    <n v="139304"/>
    <s v="Apple Event September 2025"/>
    <n v="7.1814161833113191E-2"/>
  </r>
  <r>
    <s v="A115"/>
    <x v="1"/>
    <d v="2025-09-30T00:00:00"/>
    <x v="1"/>
    <s v="#AppleWatchUltra2 #HealthTech"/>
    <n v="8269"/>
    <n v="250"/>
    <n v="638"/>
    <n v="815"/>
    <n v="41991"/>
    <n v="129393"/>
    <s v="Apple Event September 2025"/>
    <n v="7.0768897853825175E-2"/>
  </r>
  <r>
    <s v="A257"/>
    <x v="1"/>
    <d v="2025-04-06T00:00:00"/>
    <x v="3"/>
    <s v="#AppleEvent #iPhone16"/>
    <n v="15917"/>
    <n v="1479"/>
    <n v="196"/>
    <n v="313"/>
    <n v="48524"/>
    <n v="249684"/>
    <s v="iPhone 16 Launch"/>
    <n v="7.0457057720959296E-2"/>
  </r>
  <r>
    <s v="A291"/>
    <x v="3"/>
    <d v="2024-11-06T00:00:00"/>
    <x v="2"/>
    <s v="#AppleMusic #AppleLifestyle"/>
    <n v="11865"/>
    <n v="241"/>
    <n v="319"/>
    <n v="703"/>
    <n v="69596"/>
    <n v="177513"/>
    <s v="iPhone 16 Launch"/>
    <n v="6.999487361489018E-2"/>
  </r>
  <r>
    <s v="A299"/>
    <x v="3"/>
    <d v="2025-09-25T00:00:00"/>
    <x v="3"/>
    <s v="#iPhonePhotography #ShotOniPhone"/>
    <n v="12568"/>
    <n v="541"/>
    <n v="273"/>
    <n v="2767"/>
    <n v="22331"/>
    <n v="192747"/>
    <s v="Apple Event September 2025"/>
    <n v="6.9427799135654514E-2"/>
  </r>
  <r>
    <s v="A45"/>
    <x v="0"/>
    <d v="2025-09-17T00:00:00"/>
    <x v="1"/>
    <s v="#AppleMusic #AppleLifestyle"/>
    <n v="15456"/>
    <n v="590"/>
    <n v="555"/>
    <n v="2882"/>
    <n v="49816"/>
    <n v="240422"/>
    <s v="Apple Event September 2025"/>
    <n v="6.9049421433978589E-2"/>
  </r>
  <r>
    <s v="A37"/>
    <x v="0"/>
    <d v="2025-01-06T00:00:00"/>
    <x v="2"/>
    <s v="#AppleDesign #Innovation"/>
    <n v="11860"/>
    <n v="1448"/>
    <n v="893"/>
    <n v="490"/>
    <n v="23518"/>
    <n v="206205"/>
    <s v="Apple Watch Ultra 2 Launch"/>
    <n v="6.8868359157149436E-2"/>
  </r>
  <r>
    <s v="A162"/>
    <x v="3"/>
    <d v="2025-04-01T00:00:00"/>
    <x v="2"/>
    <s v="#AppleMusic #AppleLifestyle"/>
    <n v="6432"/>
    <n v="1272"/>
    <n v="498"/>
    <n v="677"/>
    <n v="47305"/>
    <n v="119134"/>
    <s v="Apple Watch Ultra 2 Launch"/>
    <n v="6.8846844729464299E-2"/>
  </r>
  <r>
    <s v="A279"/>
    <x v="3"/>
    <d v="2024-09-02T00:00:00"/>
    <x v="0"/>
    <s v="#AppleEvent #iPadPro"/>
    <n v="11765"/>
    <n v="693"/>
    <n v="729"/>
    <n v="744"/>
    <n v="97772"/>
    <n v="194243"/>
    <s v="Apple Watch Ultra 2 Launch"/>
    <n v="6.7889190344053579E-2"/>
  </r>
  <r>
    <s v="A241"/>
    <x v="2"/>
    <d v="2025-01-18T00:00:00"/>
    <x v="1"/>
    <s v="#iPhonePhotography #ShotOniPhone"/>
    <n v="12589"/>
    <n v="346"/>
    <n v="459"/>
    <n v="1407"/>
    <n v="29254"/>
    <n v="198059"/>
    <s v="Sustainability Awareness Drive"/>
    <n v="6.7626313371268162E-2"/>
  </r>
  <r>
    <s v="A111"/>
    <x v="0"/>
    <d v="2024-11-23T00:00:00"/>
    <x v="1"/>
    <s v="#ShotOniPhone"/>
    <n v="9941"/>
    <n v="1329"/>
    <n v="238"/>
    <n v="869"/>
    <n v="40281"/>
    <n v="172311"/>
    <s v="Sustainability Awareness Drive"/>
    <n v="6.6786217943137702E-2"/>
  </r>
  <r>
    <s v="A99"/>
    <x v="2"/>
    <d v="2024-07-02T00:00:00"/>
    <x v="3"/>
    <s v="#AppleMusic #AppleLifestyle"/>
    <n v="12320"/>
    <n v="1157"/>
    <n v="365"/>
    <n v="584"/>
    <n v="66634"/>
    <n v="210102"/>
    <s v="iPhone 16 Launch"/>
    <n v="6.5882285746922925E-2"/>
  </r>
  <r>
    <s v="A222"/>
    <x v="1"/>
    <d v="2024-10-08T00:00:00"/>
    <x v="1"/>
    <s v="#MacBookProM3"/>
    <n v="8738"/>
    <n v="295"/>
    <n v="529"/>
    <n v="442"/>
    <n v="25286"/>
    <n v="147522"/>
    <s v="iPhone 16 Launch"/>
    <n v="6.4817450956467515E-2"/>
  </r>
  <r>
    <s v="A54"/>
    <x v="0"/>
    <d v="2025-03-13T00:00:00"/>
    <x v="3"/>
    <s v="#AppleDesign #Innovation"/>
    <n v="6544"/>
    <n v="749"/>
    <n v="888"/>
    <n v="594"/>
    <n v="18171"/>
    <n v="126475"/>
    <s v="Sustainability Awareness Drive"/>
    <n v="6.4684720300454635E-2"/>
  </r>
  <r>
    <s v="A218"/>
    <x v="3"/>
    <d v="2024-06-11T00:00:00"/>
    <x v="0"/>
    <s v="#MacBookProM3"/>
    <n v="14910"/>
    <n v="778"/>
    <n v="289"/>
    <n v="2541"/>
    <n v="14309"/>
    <n v="247815"/>
    <s v="Sustainability Awareness Drive"/>
    <n v="6.4471480741682297E-2"/>
  </r>
  <r>
    <s v="A154"/>
    <x v="1"/>
    <d v="2024-10-09T00:00:00"/>
    <x v="0"/>
    <s v="#iPhone16Launch #AppleEvent"/>
    <n v="7240"/>
    <n v="1384"/>
    <n v="954"/>
    <n v="2335"/>
    <n v="6757"/>
    <n v="150448"/>
    <s v="Sustainability Awareness Drive"/>
    <n v="6.3663192598106988E-2"/>
  </r>
  <r>
    <s v="A210"/>
    <x v="3"/>
    <d v="2025-02-19T00:00:00"/>
    <x v="0"/>
    <s v="#iPhone16Launch #AppleEvent"/>
    <n v="8168"/>
    <n v="512"/>
    <n v="442"/>
    <n v="2343"/>
    <n v="2753"/>
    <n v="143896"/>
    <s v="MacBook Air M3 Campaign"/>
    <n v="6.3393006059932172E-2"/>
  </r>
  <r>
    <s v="A149"/>
    <x v="3"/>
    <d v="2024-06-16T00:00:00"/>
    <x v="1"/>
    <s v="#AppleWatchUltra2 #HealthTech"/>
    <n v="12160"/>
    <n v="1405"/>
    <n v="769"/>
    <n v="1980"/>
    <n v="33174"/>
    <n v="226481"/>
    <s v="Apple Watch Ultra 2 Launch"/>
    <n v="6.329007731332871E-2"/>
  </r>
  <r>
    <s v="A295"/>
    <x v="2"/>
    <d v="2025-05-06T00:00:00"/>
    <x v="3"/>
    <s v="#AppleWatchUltra2 #HealthTech"/>
    <n v="7287"/>
    <n v="1240"/>
    <n v="686"/>
    <n v="1255"/>
    <n v="15403"/>
    <n v="147971"/>
    <s v="Apple Watch Ultra 2 Launch"/>
    <n v="6.2262200025680704E-2"/>
  </r>
  <r>
    <s v="A85"/>
    <x v="1"/>
    <d v="2025-04-19T00:00:00"/>
    <x v="2"/>
    <s v="#AppleMusic #AppleLifestyle"/>
    <n v="8881"/>
    <n v="210"/>
    <n v="673"/>
    <n v="1565"/>
    <n v="24847"/>
    <n v="156891"/>
    <s v="Sustainability Awareness Drive"/>
    <n v="6.223429004850501E-2"/>
  </r>
  <r>
    <s v="A156"/>
    <x v="2"/>
    <d v="2024-10-22T00:00:00"/>
    <x v="1"/>
    <s v="#AppleMusic #AppleLifestyle"/>
    <n v="12478"/>
    <n v="484"/>
    <n v="332"/>
    <n v="2734"/>
    <n v="43338"/>
    <n v="213895"/>
    <s v="iPhone 16 Launch"/>
    <n v="6.2151990462610156E-2"/>
  </r>
  <r>
    <s v="A270"/>
    <x v="1"/>
    <d v="2025-01-15T00:00:00"/>
    <x v="1"/>
    <s v="#MacBookAirM3 #AppleInnovation"/>
    <n v="11333"/>
    <n v="920"/>
    <n v="294"/>
    <n v="606"/>
    <n v="59490"/>
    <n v="202082"/>
    <s v="Sustainability Awareness Drive"/>
    <n v="6.2088657079799291E-2"/>
  </r>
  <r>
    <s v="A169"/>
    <x v="1"/>
    <d v="2024-12-03T00:00:00"/>
    <x v="2"/>
    <s v="#AppleMusic #AppleLifestyle"/>
    <n v="2055"/>
    <n v="675"/>
    <n v="257"/>
    <n v="820"/>
    <n v="33534"/>
    <n v="48125"/>
    <s v="Apple Watch Ultra 2 Launch"/>
    <n v="6.2067532467532466E-2"/>
  </r>
  <r>
    <s v="A81"/>
    <x v="1"/>
    <d v="2024-10-19T00:00:00"/>
    <x v="3"/>
    <s v="#AppleEvent #iPadPro"/>
    <n v="6673"/>
    <n v="826"/>
    <n v="321"/>
    <n v="577"/>
    <n v="19262"/>
    <n v="132324"/>
    <s v="MacBook Air M3 Campaign"/>
    <n v="5.9097367068710133E-2"/>
  </r>
  <r>
    <s v="A48"/>
    <x v="1"/>
    <d v="2025-03-11T00:00:00"/>
    <x v="3"/>
    <s v="#AppleWatchUltra2 #HealthTech"/>
    <n v="7997"/>
    <n v="1238"/>
    <n v="438"/>
    <n v="1874"/>
    <n v="36272"/>
    <n v="165818"/>
    <s v="MacBook Air M3 Campaign"/>
    <n v="5.8335042034037318E-2"/>
  </r>
  <r>
    <s v="A15"/>
    <x v="0"/>
    <d v="2025-09-07T00:00:00"/>
    <x v="1"/>
    <s v="#AppleDesign #Innovation"/>
    <n v="3015"/>
    <n v="997"/>
    <n v="783"/>
    <n v="617"/>
    <n v="77167"/>
    <n v="82229"/>
    <s v="Apple Event September 2025"/>
    <n v="5.8312760704860814E-2"/>
  </r>
  <r>
    <s v="A288"/>
    <x v="3"/>
    <d v="2025-04-17T00:00:00"/>
    <x v="1"/>
    <s v="#AppleWatch #Health"/>
    <n v="2009"/>
    <n v="1037"/>
    <n v="344"/>
    <n v="2277"/>
    <n v="85743"/>
    <n v="58743"/>
    <s v="iPhone 16 Launch"/>
    <n v="5.7709003625963942E-2"/>
  </r>
  <r>
    <s v="A32"/>
    <x v="3"/>
    <d v="2024-07-31T00:00:00"/>
    <x v="2"/>
    <s v="#AppleEvent #iPhone16"/>
    <n v="2404"/>
    <n v="774"/>
    <n v="661"/>
    <n v="662"/>
    <n v="12676"/>
    <n v="66916"/>
    <s v="Apple Watch Ultra 2 Launch"/>
    <n v="5.7370434574690654E-2"/>
  </r>
  <r>
    <s v="A133"/>
    <x v="3"/>
    <d v="2025-02-06T00:00:00"/>
    <x v="2"/>
    <s v="#AppleWatchUltra2 #HealthTech"/>
    <n v="2666"/>
    <n v="1136"/>
    <n v="989"/>
    <n v="1710"/>
    <n v="36467"/>
    <n v="83753"/>
    <s v="Sustainability Awareness Drive"/>
    <n v="5.7203921053574198E-2"/>
  </r>
  <r>
    <s v="A28"/>
    <x v="2"/>
    <d v="2025-03-04T00:00:00"/>
    <x v="1"/>
    <s v="#ShotOniPhone"/>
    <n v="12344"/>
    <n v="815"/>
    <n v="298"/>
    <n v="2439"/>
    <n v="6259"/>
    <n v="237133"/>
    <s v="iPhone 16 Launch"/>
    <n v="5.6748744375519224E-2"/>
  </r>
  <r>
    <s v="A96"/>
    <x v="2"/>
    <d v="2024-09-10T00:00:00"/>
    <x v="3"/>
    <s v="#AppleWatch #Health"/>
    <n v="6637"/>
    <n v="595"/>
    <n v="161"/>
    <n v="2653"/>
    <n v="19334"/>
    <n v="131155"/>
    <s v="Sustainability Awareness Drive"/>
    <n v="5.6368419046166747E-2"/>
  </r>
  <r>
    <s v="A87"/>
    <x v="2"/>
    <d v="2024-06-06T00:00:00"/>
    <x v="1"/>
    <s v="#iPhone16Launch #AppleEvent"/>
    <n v="11521"/>
    <n v="1071"/>
    <n v="762"/>
    <n v="2539"/>
    <n v="12701"/>
    <n v="238350"/>
    <s v="Sustainability Awareness Drive"/>
    <n v="5.6026851269142017E-2"/>
  </r>
  <r>
    <s v="A49"/>
    <x v="2"/>
    <d v="2025-09-18T00:00:00"/>
    <x v="3"/>
    <s v="#AppleEvent #iPhone16"/>
    <n v="4048"/>
    <n v="677"/>
    <n v="911"/>
    <n v="2429"/>
    <n v="27361"/>
    <n v="101272"/>
    <s v="Apple Event September 2025"/>
    <n v="5.5652105221581483E-2"/>
  </r>
  <r>
    <s v="A20"/>
    <x v="1"/>
    <d v="2024-09-09T00:00:00"/>
    <x v="0"/>
    <s v="#AppleDesign #Innovation"/>
    <n v="6158"/>
    <n v="277"/>
    <n v="512"/>
    <n v="2189"/>
    <n v="76881"/>
    <n v="124878"/>
    <s v="iPhone 16 Launch"/>
    <n v="5.563029516808405E-2"/>
  </r>
  <r>
    <s v="A102"/>
    <x v="2"/>
    <d v="2025-09-26T00:00:00"/>
    <x v="3"/>
    <s v="#ShotOniPhone"/>
    <n v="9043"/>
    <n v="1192"/>
    <n v="810"/>
    <n v="1550"/>
    <n v="5221"/>
    <n v="199476"/>
    <s v="Apple Event September 2025"/>
    <n v="5.5370069582305642E-2"/>
  </r>
  <r>
    <s v="A69"/>
    <x v="0"/>
    <d v="2025-03-08T00:00:00"/>
    <x v="1"/>
    <s v="#AppleWatch #Health"/>
    <n v="10580"/>
    <n v="427"/>
    <n v="790"/>
    <n v="2814"/>
    <n v="24916"/>
    <n v="213312"/>
    <s v="MacBook Air M3 Campaign"/>
    <n v="5.530396789678968E-2"/>
  </r>
  <r>
    <s v="A120"/>
    <x v="3"/>
    <d v="2024-10-21T00:00:00"/>
    <x v="0"/>
    <s v="#AppleEvent #iPadPro"/>
    <n v="8254"/>
    <n v="1405"/>
    <n v="165"/>
    <n v="2504"/>
    <n v="8081"/>
    <n v="177710"/>
    <s v="Apple Watch Ultra 2 Launch"/>
    <n v="5.5281075910190762E-2"/>
  </r>
  <r>
    <s v="A293"/>
    <x v="3"/>
    <d v="2025-05-14T00:00:00"/>
    <x v="2"/>
    <s v="#AppleEvent #iPhone16"/>
    <n v="9041"/>
    <n v="1133"/>
    <n v="612"/>
    <n v="1687"/>
    <n v="28102"/>
    <n v="195683"/>
    <s v="iPhone 16 Launch"/>
    <n v="5.5119760020032396E-2"/>
  </r>
  <r>
    <s v="A113"/>
    <x v="0"/>
    <d v="2025-09-29T00:00:00"/>
    <x v="0"/>
    <s v="#iPhonePhotography #ShotOniPhone"/>
    <n v="7569"/>
    <n v="803"/>
    <n v="804"/>
    <n v="1753"/>
    <n v="43582"/>
    <n v="166945"/>
    <s v="Apple Event September 2025"/>
    <n v="5.4964209769684629E-2"/>
  </r>
  <r>
    <s v="A197"/>
    <x v="2"/>
    <d v="2024-10-22T00:00:00"/>
    <x v="1"/>
    <s v="#AppleDesign #Innovation"/>
    <n v="7750"/>
    <n v="1146"/>
    <n v="415"/>
    <n v="1411"/>
    <n v="85339"/>
    <n v="172439"/>
    <s v="Sustainability Awareness Drive"/>
    <n v="5.3995905798572247E-2"/>
  </r>
  <r>
    <s v="A94"/>
    <x v="2"/>
    <d v="2024-11-07T00:00:00"/>
    <x v="3"/>
    <s v="#iPhone16Launch #AppleEvent"/>
    <n v="11550"/>
    <n v="501"/>
    <n v="646"/>
    <n v="773"/>
    <n v="17841"/>
    <n v="237576"/>
    <s v="iPhone 16 Launch"/>
    <n v="5.3443950567397383E-2"/>
  </r>
  <r>
    <s v="A30"/>
    <x v="0"/>
    <d v="2025-02-25T00:00:00"/>
    <x v="3"/>
    <s v="#iPhonePhotography #ShotOniPhone"/>
    <n v="10702"/>
    <n v="621"/>
    <n v="445"/>
    <n v="2918"/>
    <n v="54808"/>
    <n v="220225"/>
    <s v="Apple Watch Ultra 2 Launch"/>
    <n v="5.3436258372119426E-2"/>
  </r>
  <r>
    <s v="A12"/>
    <x v="1"/>
    <d v="2024-07-21T00:00:00"/>
    <x v="1"/>
    <s v="#MacBookAirM3 #AppleInnovation"/>
    <n v="2009"/>
    <n v="1072"/>
    <n v="550"/>
    <n v="1437"/>
    <n v="22982"/>
    <n v="69426"/>
    <s v="iPhone 16 Launch"/>
    <n v="5.2300290957278256E-2"/>
  </r>
  <r>
    <s v="A269"/>
    <x v="1"/>
    <d v="2024-11-05T00:00:00"/>
    <x v="1"/>
    <s v="#MacBookProM3"/>
    <n v="8469"/>
    <n v="935"/>
    <n v="211"/>
    <n v="2635"/>
    <n v="21890"/>
    <n v="184539"/>
    <s v="MacBook Air M3 Campaign"/>
    <n v="5.2102807536618279E-2"/>
  </r>
  <r>
    <s v="A9"/>
    <x v="1"/>
    <d v="2024-08-30T00:00:00"/>
    <x v="3"/>
    <s v="#MacBookAirM3 #AppleInnovation"/>
    <n v="6804"/>
    <n v="787"/>
    <n v="970"/>
    <n v="1095"/>
    <n v="56343"/>
    <n v="164677"/>
    <s v="Apple Watch Ultra 2 Launch"/>
    <n v="5.1986616224487935E-2"/>
  </r>
  <r>
    <s v="A31"/>
    <x v="3"/>
    <d v="2024-12-16T00:00:00"/>
    <x v="2"/>
    <s v="#AppleEvent #iPadPro"/>
    <n v="2384"/>
    <n v="1246"/>
    <n v="160"/>
    <n v="2004"/>
    <n v="2701"/>
    <n v="73142"/>
    <s v="Apple Watch Ultra 2 Launch"/>
    <n v="5.1817013480626728E-2"/>
  </r>
  <r>
    <s v="A22"/>
    <x v="3"/>
    <d v="2025-02-27T00:00:00"/>
    <x v="2"/>
    <s v="#AppleMusic #AppleLifestyle"/>
    <n v="8970"/>
    <n v="331"/>
    <n v="968"/>
    <n v="2296"/>
    <n v="24613"/>
    <n v="198562"/>
    <s v="iPhone 16 Launch"/>
    <n v="5.1716844109144754E-2"/>
  </r>
  <r>
    <s v="A200"/>
    <x v="1"/>
    <d v="2025-04-07T00:00:00"/>
    <x v="3"/>
    <s v="#iPhonePhotography #ShotOniPhone"/>
    <n v="3062"/>
    <n v="1124"/>
    <n v="538"/>
    <n v="2935"/>
    <n v="69749"/>
    <n v="91924"/>
    <s v="iPhone 16 Launch"/>
    <n v="5.1390278926069365E-2"/>
  </r>
  <r>
    <s v="A261"/>
    <x v="3"/>
    <d v="2024-10-27T00:00:00"/>
    <x v="3"/>
    <s v="#AppleWatchUltra2 #HealthTech"/>
    <n v="7560"/>
    <n v="1139"/>
    <n v="248"/>
    <n v="1624"/>
    <n v="72237"/>
    <n v="177084"/>
    <s v="Sustainability Awareness Drive"/>
    <n v="5.0524045085947912E-2"/>
  </r>
  <r>
    <s v="A219"/>
    <x v="0"/>
    <d v="2025-01-28T00:00:00"/>
    <x v="3"/>
    <s v="#AppleMusic #AppleLifestyle"/>
    <n v="9943"/>
    <n v="1274"/>
    <n v="336"/>
    <n v="389"/>
    <n v="6145"/>
    <n v="231305"/>
    <s v="Apple Watch Ultra 2 Launch"/>
    <n v="4.9947039623008581E-2"/>
  </r>
  <r>
    <s v="A171"/>
    <x v="0"/>
    <d v="2024-12-31T00:00:00"/>
    <x v="2"/>
    <s v="#AppleWatchUltra2 #HealthTech"/>
    <n v="10717"/>
    <n v="760"/>
    <n v="460"/>
    <n v="1316"/>
    <n v="18164"/>
    <n v="240641"/>
    <s v="MacBook Air M3 Campaign"/>
    <n v="4.9605013277039242E-2"/>
  </r>
  <r>
    <s v="A65"/>
    <x v="1"/>
    <d v="2025-03-28T00:00:00"/>
    <x v="1"/>
    <s v="#AppleWatchUltra2 #HealthTech"/>
    <n v="6363"/>
    <n v="1341"/>
    <n v="222"/>
    <n v="2712"/>
    <n v="19987"/>
    <n v="160585"/>
    <s v="Sustainability Awareness Drive"/>
    <n v="4.9357038328611019E-2"/>
  </r>
  <r>
    <s v="A130"/>
    <x v="0"/>
    <d v="2024-09-29T00:00:00"/>
    <x v="3"/>
    <s v="#MacBookAirM3 #AppleInnovation"/>
    <n v="10472"/>
    <n v="401"/>
    <n v="668"/>
    <n v="383"/>
    <n v="37571"/>
    <n v="249203"/>
    <s v="Sustainability Awareness Drive"/>
    <n v="4.6311641513143903E-2"/>
  </r>
  <r>
    <s v="A16"/>
    <x v="3"/>
    <d v="2024-08-26T00:00:00"/>
    <x v="3"/>
    <s v="#AppleWatch #Health"/>
    <n v="4193"/>
    <n v="924"/>
    <n v="707"/>
    <n v="2696"/>
    <n v="55075"/>
    <n v="126652"/>
    <s v="iPhone 16 Launch"/>
    <n v="4.5984271863057827E-2"/>
  </r>
  <r>
    <s v="A58"/>
    <x v="3"/>
    <d v="2025-04-15T00:00:00"/>
    <x v="3"/>
    <s v="#AppleDesign #Innovation"/>
    <n v="5419"/>
    <n v="1150"/>
    <n v="656"/>
    <n v="1990"/>
    <n v="410"/>
    <n v="158154"/>
    <s v="Sustainability Awareness Drive"/>
    <n v="4.5683321319726342E-2"/>
  </r>
  <r>
    <s v="A145"/>
    <x v="0"/>
    <d v="2024-08-12T00:00:00"/>
    <x v="3"/>
    <s v="#MacBookAirM3 #AppleInnovation"/>
    <n v="8376"/>
    <n v="1154"/>
    <n v="422"/>
    <n v="1907"/>
    <n v="36874"/>
    <n v="218486"/>
    <s v="Sustainability Awareness Drive"/>
    <n v="4.5549829279679245E-2"/>
  </r>
  <r>
    <s v="A283"/>
    <x v="2"/>
    <d v="2025-05-09T00:00:00"/>
    <x v="3"/>
    <s v="#AppleWatch #Health"/>
    <n v="8988"/>
    <n v="228"/>
    <n v="766"/>
    <n v="652"/>
    <n v="63789"/>
    <n v="219785"/>
    <s v="Sustainability Awareness Drive"/>
    <n v="4.541711217781013E-2"/>
  </r>
  <r>
    <s v="A298"/>
    <x v="1"/>
    <d v="2025-09-24T00:00:00"/>
    <x v="1"/>
    <s v="#iPhone16Launch #AppleEvent"/>
    <n v="3342"/>
    <n v="787"/>
    <n v="375"/>
    <n v="907"/>
    <n v="85823"/>
    <n v="99189"/>
    <s v="Apple Event September 2025"/>
    <n v="4.5408260996683103E-2"/>
  </r>
  <r>
    <s v="A90"/>
    <x v="2"/>
    <d v="2024-06-03T00:00:00"/>
    <x v="2"/>
    <s v="#AppleEvent #iPhone16"/>
    <n v="8941"/>
    <n v="911"/>
    <n v="166"/>
    <n v="1217"/>
    <n v="68817"/>
    <n v="221180"/>
    <s v="MacBook Air M3 Campaign"/>
    <n v="4.5293426168731353E-2"/>
  </r>
  <r>
    <s v="A134"/>
    <x v="3"/>
    <d v="2025-10-01T00:00:00"/>
    <x v="3"/>
    <s v="#ShotOniPhone"/>
    <n v="6188"/>
    <n v="774"/>
    <n v="647"/>
    <n v="1830"/>
    <n v="55436"/>
    <n v="175542"/>
    <s v="Apple Event September 2025"/>
    <n v="4.3345752013763089E-2"/>
  </r>
  <r>
    <s v="A38"/>
    <x v="3"/>
    <d v="2025-02-17T00:00:00"/>
    <x v="1"/>
    <s v="#MacBookAirM3 #AppleInnovation"/>
    <n v="7989"/>
    <n v="1206"/>
    <n v="376"/>
    <n v="2769"/>
    <n v="27550"/>
    <n v="221749"/>
    <s v="Sustainability Awareness Drive"/>
    <n v="4.3161412227338117E-2"/>
  </r>
  <r>
    <s v="A70"/>
    <x v="2"/>
    <d v="2025-04-02T00:00:00"/>
    <x v="1"/>
    <s v="#iPhone16Launch #AppleEvent"/>
    <n v="6858"/>
    <n v="415"/>
    <n v="366"/>
    <n v="2761"/>
    <n v="2988"/>
    <n v="177348"/>
    <s v="Apple Watch Ultra 2 Launch"/>
    <n v="4.3073505198818141E-2"/>
  </r>
  <r>
    <s v="A142"/>
    <x v="3"/>
    <d v="2025-03-25T00:00:00"/>
    <x v="3"/>
    <s v="#AppleDesign #Innovation"/>
    <n v="5900"/>
    <n v="546"/>
    <n v="592"/>
    <n v="1594"/>
    <n v="38627"/>
    <n v="164398"/>
    <s v="MacBook Air M3 Campaign"/>
    <n v="4.2810739790021778E-2"/>
  </r>
  <r>
    <s v="A207"/>
    <x v="0"/>
    <d v="2024-12-29T00:00:00"/>
    <x v="3"/>
    <s v="#MacBookProM3"/>
    <n v="8288"/>
    <n v="1401"/>
    <n v="819"/>
    <n v="1235"/>
    <n v="33446"/>
    <n v="248786"/>
    <s v="Apple Watch Ultra 2 Launch"/>
    <n v="4.2237103373984064E-2"/>
  </r>
  <r>
    <s v="A274"/>
    <x v="0"/>
    <d v="2025-01-01T00:00:00"/>
    <x v="0"/>
    <s v="#AppleMusic #AppleLifestyle"/>
    <n v="8283"/>
    <n v="720"/>
    <n v="888"/>
    <n v="611"/>
    <n v="52791"/>
    <n v="235229"/>
    <s v="Apple Watch Ultra 2 Launch"/>
    <n v="4.2048386891072105E-2"/>
  </r>
  <r>
    <s v="A206"/>
    <x v="3"/>
    <d v="2024-06-24T00:00:00"/>
    <x v="2"/>
    <s v="#AppleEvent #iPhone16"/>
    <n v="6632"/>
    <n v="254"/>
    <n v="525"/>
    <n v="1013"/>
    <n v="13838"/>
    <n v="180180"/>
    <s v="Apple Watch Ultra 2 Launch"/>
    <n v="4.1131091131091133E-2"/>
  </r>
  <r>
    <s v="A256"/>
    <x v="1"/>
    <d v="2025-09-17T00:00:00"/>
    <x v="3"/>
    <s v="#AppleMusic #AppleLifestyle"/>
    <n v="2117"/>
    <n v="1133"/>
    <n v="203"/>
    <n v="1173"/>
    <n v="40125"/>
    <n v="85379"/>
    <s v="Apple Event September 2025"/>
    <n v="4.0443200318579509E-2"/>
  </r>
  <r>
    <s v="A182"/>
    <x v="1"/>
    <d v="2024-07-31T00:00:00"/>
    <x v="0"/>
    <s v="#AppleDesign #Innovation"/>
    <n v="7122"/>
    <n v="628"/>
    <n v="757"/>
    <n v="2313"/>
    <n v="50924"/>
    <n v="210954"/>
    <s v="MacBook Air M3 Campaign"/>
    <n v="4.0326327066564277E-2"/>
  </r>
  <r>
    <s v="A79"/>
    <x v="1"/>
    <d v="2025-09-22T00:00:00"/>
    <x v="0"/>
    <s v="#Sustainability #AppleEarth"/>
    <n v="8996"/>
    <n v="329"/>
    <n v="378"/>
    <n v="2384"/>
    <n v="39404"/>
    <n v="242724"/>
    <s v="Apple Event September 2025"/>
    <n v="3.9975445361810122E-2"/>
  </r>
  <r>
    <s v="A14"/>
    <x v="1"/>
    <d v="2025-09-06T00:00:00"/>
    <x v="1"/>
    <s v="#AppleWatch #Health"/>
    <n v="7124"/>
    <n v="469"/>
    <n v="851"/>
    <n v="2571"/>
    <n v="33802"/>
    <n v="216313"/>
    <s v="Apple Event September 2025"/>
    <n v="3.9036026498638549E-2"/>
  </r>
  <r>
    <s v="A275"/>
    <x v="3"/>
    <d v="2024-08-05T00:00:00"/>
    <x v="1"/>
    <s v="#AppleWatch #Health"/>
    <n v="4048"/>
    <n v="751"/>
    <n v="930"/>
    <n v="1382"/>
    <n v="16844"/>
    <n v="148177"/>
    <s v="iPhone 16 Launch"/>
    <n v="3.8663220337839206E-2"/>
  </r>
  <r>
    <s v="A141"/>
    <x v="0"/>
    <d v="2025-10-03T00:00:00"/>
    <x v="2"/>
    <s v="#iPhone16Launch #AppleEvent"/>
    <n v="6777"/>
    <n v="617"/>
    <n v="551"/>
    <n v="2109"/>
    <n v="18559"/>
    <n v="208452"/>
    <s v="Apple Event September 2025"/>
    <n v="3.8114290100358834E-2"/>
  </r>
  <r>
    <s v="A43"/>
    <x v="2"/>
    <d v="2025-09-16T00:00:00"/>
    <x v="1"/>
    <s v="#MacBookProM3"/>
    <n v="6809"/>
    <n v="397"/>
    <n v="813"/>
    <n v="1125"/>
    <n v="12206"/>
    <n v="218136"/>
    <s v="Apple Event September 2025"/>
    <n v="3.6761469908680823E-2"/>
  </r>
  <r>
    <s v="A281"/>
    <x v="0"/>
    <d v="2025-03-22T00:00:00"/>
    <x v="0"/>
    <s v="#AppleEvent #iPhone16"/>
    <n v="3917"/>
    <n v="865"/>
    <n v="759"/>
    <n v="2282"/>
    <n v="56125"/>
    <n v="154014"/>
    <s v="Apple Watch Ultra 2 Launch"/>
    <n v="3.5977248821535704E-2"/>
  </r>
  <r>
    <s v="A280"/>
    <x v="2"/>
    <d v="2025-09-18T00:00:00"/>
    <x v="0"/>
    <s v="#AppleMusic #AppleLifestyle"/>
    <n v="3828"/>
    <n v="203"/>
    <n v="506"/>
    <n v="2440"/>
    <n v="63650"/>
    <n v="126365"/>
    <s v="Apple Event September 2025"/>
    <n v="3.5903929094290347E-2"/>
  </r>
  <r>
    <s v="A178"/>
    <x v="1"/>
    <d v="2025-10-10T00:00:00"/>
    <x v="3"/>
    <s v="#AppleDesign #Innovation"/>
    <n v="6621"/>
    <n v="922"/>
    <n v="930"/>
    <n v="694"/>
    <n v="839"/>
    <n v="243532"/>
    <s v="Apple Event September 2025"/>
    <n v="3.479214230573395E-2"/>
  </r>
  <r>
    <s v="A181"/>
    <x v="3"/>
    <d v="2025-10-12T00:00:00"/>
    <x v="3"/>
    <s v="#AppleWatch #Health"/>
    <n v="7126"/>
    <n v="484"/>
    <n v="565"/>
    <n v="573"/>
    <n v="7389"/>
    <n v="237096"/>
    <s v="Apple Event September 2025"/>
    <n v="3.4479704423524646E-2"/>
  </r>
  <r>
    <s v="A110"/>
    <x v="1"/>
    <d v="2024-07-29T00:00:00"/>
    <x v="0"/>
    <s v="#AppleWatch #Health"/>
    <n v="6164"/>
    <n v="326"/>
    <n v="615"/>
    <n v="2806"/>
    <n v="38579"/>
    <n v="206129"/>
    <s v="MacBook Air M3 Campaign"/>
    <n v="3.4468706489625425E-2"/>
  </r>
  <r>
    <s v="A292"/>
    <x v="1"/>
    <d v="2024-11-17T00:00:00"/>
    <x v="3"/>
    <s v="#AppleMusic #AppleLifestyle"/>
    <n v="4219"/>
    <n v="240"/>
    <n v="670"/>
    <n v="815"/>
    <n v="11978"/>
    <n v="159735"/>
    <s v="iPhone 16 Launch"/>
    <n v="3.2109431245500357E-2"/>
  </r>
  <r>
    <s v="A273"/>
    <x v="0"/>
    <d v="2024-10-12T00:00:00"/>
    <x v="2"/>
    <s v="#Sustainability #AppleEarth"/>
    <n v="6208"/>
    <n v="725"/>
    <n v="309"/>
    <n v="848"/>
    <n v="39319"/>
    <n v="225763"/>
    <s v="Apple Watch Ultra 2 Launch"/>
    <n v="3.207788698768177E-2"/>
  </r>
  <r>
    <s v="A247"/>
    <x v="3"/>
    <d v="2024-08-27T00:00:00"/>
    <x v="2"/>
    <s v="#MacBookProM3"/>
    <n v="6324"/>
    <n v="908"/>
    <n v="375"/>
    <n v="758"/>
    <n v="34850"/>
    <n v="241039"/>
    <s v="Apple Watch Ultra 2 Launch"/>
    <n v="3.1559208260903839E-2"/>
  </r>
  <r>
    <s v="A173"/>
    <x v="1"/>
    <d v="2024-12-05T00:00:00"/>
    <x v="1"/>
    <s v="#AppleEvent #iPhone16"/>
    <n v="4125"/>
    <n v="1364"/>
    <n v="319"/>
    <n v="2848"/>
    <n v="15379"/>
    <n v="188159"/>
    <s v="MacBook Air M3 Campaign"/>
    <n v="3.0867510988047343E-2"/>
  </r>
  <r>
    <s v="A193"/>
    <x v="3"/>
    <d v="2024-09-11T00:00:00"/>
    <x v="2"/>
    <s v="#AppleWatch #Health"/>
    <n v="3906"/>
    <n v="1187"/>
    <n v="589"/>
    <n v="401"/>
    <n v="52687"/>
    <n v="196498"/>
    <s v="Apple Watch Ultra 2 Launch"/>
    <n v="2.8916324848090057E-2"/>
  </r>
  <r>
    <s v="A245"/>
    <x v="1"/>
    <d v="2025-01-12T00:00:00"/>
    <x v="2"/>
    <s v="#AppleEvent #iPadPro"/>
    <n v="4590"/>
    <n v="713"/>
    <n v="479"/>
    <n v="2730"/>
    <n v="41050"/>
    <n v="204246"/>
    <s v="Sustainability Awareness Drive"/>
    <n v="2.8308999931455206E-2"/>
  </r>
  <r>
    <s v="A236"/>
    <x v="0"/>
    <d v="2024-08-19T00:00:00"/>
    <x v="0"/>
    <s v="#iPhonePhotography #ShotOniPhone"/>
    <n v="3605"/>
    <n v="206"/>
    <n v="921"/>
    <n v="852"/>
    <n v="11660"/>
    <n v="182635"/>
    <s v="iPhone 16 Launch"/>
    <n v="2.590960111698196E-2"/>
  </r>
  <r>
    <s v="A41"/>
    <x v="1"/>
    <d v="2025-09-15T00:00:00"/>
    <x v="1"/>
    <s v="#MacBookAirM3 #AppleInnovation"/>
    <n v="5636"/>
    <n v="303"/>
    <n v="204"/>
    <n v="2480"/>
    <n v="7377"/>
    <n v="241207"/>
    <s v="Apple Event September 2025"/>
    <n v="2.5467751765081443E-2"/>
  </r>
  <r>
    <s v="A78"/>
    <x v="0"/>
    <d v="2024-06-17T00:00:00"/>
    <x v="2"/>
    <s v="#AppleMusic #AppleLifestyle"/>
    <n v="3252"/>
    <n v="1043"/>
    <n v="647"/>
    <n v="1545"/>
    <n v="18859"/>
    <n v="222958"/>
    <s v="Apple Watch Ultra 2 Launch"/>
    <n v="2.2165609666394567E-2"/>
  </r>
  <r>
    <s v="A188"/>
    <x v="1"/>
    <d v="2024-06-06T00:00:00"/>
    <x v="3"/>
    <s v="#Sustainability #AppleEarth"/>
    <n v="3531"/>
    <n v="789"/>
    <n v="467"/>
    <n v="1867"/>
    <n v="40816"/>
    <n v="236037"/>
    <s v="Sustainability Awareness Drive"/>
    <n v="2.0280718700881641E-2"/>
  </r>
  <r>
    <s v="A4"/>
    <x v="1"/>
    <d v="2024-08-12T00:00:00"/>
    <x v="0"/>
    <s v="#AppleEvent #iPadPro"/>
    <n v="3581"/>
    <n v="517"/>
    <n v="880"/>
    <n v="1925"/>
    <n v="18636"/>
    <n v="248611"/>
    <s v="iPhone 16 Launch"/>
    <n v="2.0023249172401864E-2"/>
  </r>
  <r>
    <s v="A167"/>
    <x v="0"/>
    <d v="2024-11-28T00:00:00"/>
    <x v="3"/>
    <s v="#AppleEvent #iPhone16"/>
    <n v="2302"/>
    <n v="347"/>
    <n v="642"/>
    <n v="2175"/>
    <n v="56378"/>
    <n v="198056"/>
    <s v="MacBook Air M3 Campaign"/>
    <n v="1.6616512501514722E-2"/>
  </r>
  <r>
    <m/>
    <x v="4"/>
    <m/>
    <x v="4"/>
    <m/>
    <m/>
    <m/>
    <m/>
    <m/>
    <m/>
    <m/>
    <m/>
    <m/>
  </r>
  <r>
    <m/>
    <x v="4"/>
    <m/>
    <x v="4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30C628-ECB9-492A-9B62-A0023904161C}" name="PivotTable7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" firstHeaderRow="1" firstDataRow="2" firstDataCol="1"/>
  <pivotFields count="13">
    <pivotField showAll="0"/>
    <pivotField axis="axisCol" showAll="0" sortType="descending">
      <items count="6">
        <item x="3"/>
        <item x="0"/>
        <item x="2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6">
        <item x="3"/>
        <item x="2"/>
        <item x="1"/>
        <item x="0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 v="2"/>
    </i>
    <i>
      <x v="1"/>
    </i>
    <i>
      <x/>
    </i>
    <i>
      <x v="3"/>
    </i>
    <i t="grand">
      <x/>
    </i>
  </colItems>
  <dataFields count="1">
    <dataField name="Average of Engagement Rate" fld="12" subtotal="average" baseField="3" baseItem="0" numFmtId="2"/>
  </dataFields>
  <formats count="8">
    <format dxfId="9">
      <pivotArea outline="0" collapsedLevelsAreSubtotals="1" fieldPosition="0"/>
    </format>
    <format dxfId="8">
      <pivotArea dataOnly="0" outline="0" fieldPosition="0">
        <references count="1">
          <reference field="1" count="1">
            <x v="2"/>
          </reference>
        </references>
      </pivotArea>
    </format>
    <format dxfId="7">
      <pivotArea outline="0" collapsedLevelsAreSubtotals="1" fieldPosition="0">
        <references count="1">
          <reference field="1" count="1" selected="0">
            <x v="1"/>
          </reference>
        </references>
      </pivotArea>
    </format>
    <format dxfId="6">
      <pivotArea dataOnly="0" labelOnly="1" fieldPosition="0">
        <references count="1">
          <reference field="1" count="1">
            <x v="1"/>
          </reference>
        </references>
      </pivotArea>
    </format>
    <format dxfId="5">
      <pivotArea outline="0" collapsedLevelsAreSubtotals="1" fieldPosition="0">
        <references count="1">
          <reference field="1" count="1" selected="0">
            <x v="0"/>
          </reference>
        </references>
      </pivotArea>
    </format>
    <format dxfId="4">
      <pivotArea dataOnly="0" labelOnly="1" fieldPosition="0">
        <references count="1">
          <reference field="1" count="1">
            <x v="0"/>
          </reference>
        </references>
      </pivotArea>
    </format>
    <format dxfId="3">
      <pivotArea outline="0" collapsedLevelsAreSubtotals="1" fieldPosition="0">
        <references count="1">
          <reference field="1" count="1" selected="0">
            <x v="3"/>
          </reference>
        </references>
      </pivotArea>
    </format>
    <format dxfId="2">
      <pivotArea dataOnly="0" labelOnly="1" fieldPosition="0">
        <references count="1">
          <reference field="1" count="1">
            <x v="3"/>
          </reference>
        </references>
      </pivotArea>
    </format>
  </formats>
  <pivotTableStyleInfo name="PivotStyleMedium2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D2B46B-9164-411B-A416-84C8E318E0E4}" name="PivotTable3" cacheId="4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7" firstHeaderRow="1" firstDataRow="1" firstDataCol="1"/>
  <pivotFields count="8">
    <pivotField showAll="0"/>
    <pivotField axis="axisRow" showAll="0" sortType="descending">
      <items count="6">
        <item x="0"/>
        <item x="3"/>
        <item x="1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4">
    <i>
      <x v="3"/>
    </i>
    <i>
      <x v="2"/>
    </i>
    <i>
      <x/>
    </i>
    <i>
      <x v="1"/>
    </i>
  </rowItems>
  <colItems count="1">
    <i/>
  </colItems>
  <dataFields count="1">
    <dataField name="Average of Followers_Growth_Rate" fld="7" subtotal="average" baseField="1" baseItem="0"/>
  </dataFields>
  <formats count="1">
    <format dxfId="1">
      <pivotArea collapsedLevelsAreSubtotals="1" fieldPosition="0">
        <references count="1">
          <reference field="1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Medium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91E4F1-7A6A-4A83-B08F-F4AD586D80A8}" name="PivotTable4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8">
    <pivotField showAll="0"/>
    <pivotField axis="axisRow" showAll="0" sortType="descending">
      <items count="6">
        <item x="0"/>
        <item x="3"/>
        <item x="1"/>
        <item x="2"/>
        <item h="1"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dataField="1" showAll="0"/>
    <pivotField dataField="1" showAll="0"/>
    <pivotField showAll="0"/>
  </pivotFields>
  <rowFields count="1">
    <field x="1"/>
  </rowFields>
  <rowItems count="5">
    <i>
      <x v="1"/>
    </i>
    <i>
      <x v="2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gagement_Rate" fld="5" subtotal="average" baseField="1" baseItem="0"/>
    <dataField name="Average of Ad_Spend" fld="6" subtotal="average" baseField="1" baseItem="0"/>
  </dataFields>
  <formats count="1">
    <format dxfId="0">
      <pivotArea outline="0" collapsedLevelsAreSubtotals="1" fieldPosition="0"/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Medium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C2E727-D19F-4B6E-AE0A-C8A0D3F71936}" name="Table23" displayName="Table23" ref="A1:L302" totalsRowShown="0" headerRowDxfId="55" dataDxfId="53" headerRowBorderDxfId="54" tableBorderDxfId="52" totalsRowBorderDxfId="51">
  <autoFilter ref="A1:L302" xr:uid="{D9C2E727-D19F-4B6E-AE0A-C8A0D3F71936}"/>
  <tableColumns count="12">
    <tableColumn id="1" xr3:uid="{F955B211-82C2-4397-A739-CEAC9E2FF481}" name="PostID" dataDxfId="50"/>
    <tableColumn id="2" xr3:uid="{A2CD09EA-C2DC-4250-8DEC-CB24025E9814}" name="Platform" dataDxfId="49"/>
    <tableColumn id="3" xr3:uid="{F0A07325-B9D7-4775-A94F-14BC375813D2}" name="Date" dataDxfId="48"/>
    <tableColumn id="4" xr3:uid="{0B78B31C-8932-4F1A-AB6D-35787A1CDEA8}" name="ContentType" dataDxfId="47"/>
    <tableColumn id="5" xr3:uid="{77897898-6B78-47A8-9053-D7D5FE5142C6}" name="Hashtags" dataDxfId="46"/>
    <tableColumn id="6" xr3:uid="{7E36B14C-1565-4965-B9D4-2CAA6D5400D9}" name="Likes" dataDxfId="45"/>
    <tableColumn id="7" xr3:uid="{E4FBAB72-B67F-4FD0-9953-A2E2DC238DE0}" name="Shares" dataDxfId="44"/>
    <tableColumn id="8" xr3:uid="{94C69207-ED8C-4469-8FBF-7B6CE692A36F}" name="Comments" dataDxfId="43"/>
    <tableColumn id="9" xr3:uid="{45839E87-1BCE-4312-8C60-A6A65E97386D}" name="Clicks" dataDxfId="42"/>
    <tableColumn id="10" xr3:uid="{25AD56CB-D80C-4ED1-B17D-24A5D9891B16}" name="Reach" dataDxfId="41"/>
    <tableColumn id="11" xr3:uid="{D29C383C-E895-4332-8D2B-392B69367197}" name="Impressions" dataDxfId="40"/>
    <tableColumn id="12" xr3:uid="{98B7B563-809F-4BBB-982C-52CB4E4816D9}" name="Campaign" dataDxfId="3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90121EB-5AF7-4C33-945F-FB7B882E5AE9}" name="Table7" displayName="Table7" ref="M1:M301" totalsRowShown="0" headerRowDxfId="38" dataDxfId="36" headerRowBorderDxfId="37" tableBorderDxfId="35" totalsRowBorderDxfId="34">
  <autoFilter ref="M1:M301" xr:uid="{2B2F9122-E7E9-45F4-B39F-5D9B377B14A0}"/>
  <tableColumns count="1">
    <tableColumn id="1" xr3:uid="{4097F94B-5C60-4B45-B844-CA9D39868C79}" name="Engagement Rate" dataDxfId="33">
      <calculatedColumnFormula>(F2+G2+H2)/Table23[[#This Row],[Impressions]]</calculatedColumnFormula>
    </tableColumn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BB03CC-618C-4FD2-8629-3A1433316D56}" name="Table3" displayName="Table3" ref="A1:H203" totalsRowShown="0" headerRowDxfId="32" dataDxfId="30" headerRowBorderDxfId="31" tableBorderDxfId="29" totalsRowBorderDxfId="28">
  <autoFilter ref="A1:H203" xr:uid="{A3BB03CC-618C-4FD2-8629-3A1433316D56}"/>
  <tableColumns count="8">
    <tableColumn id="1" xr3:uid="{BDA8B3D3-26AC-4B23-8509-CC0B1D7A9E02}" name="Week_Start_Date" dataDxfId="27"/>
    <tableColumn id="2" xr3:uid="{812519FA-CB09-4FB2-9A8B-F9B9FE7BD8CF}" name="Platform" dataDxfId="26"/>
    <tableColumn id="3" xr3:uid="{A095FEBA-DC8B-4977-945C-B29079B3EE73}" name="New_Followers" dataDxfId="25"/>
    <tableColumn id="4" xr3:uid="{1B75A828-3E2B-40BC-9136-09902E58F014}" name="Unfollows" dataDxfId="24"/>
    <tableColumn id="5" xr3:uid="{C163C01B-D57B-4B54-BA83-0976723CD87F}" name="Total_Followers" dataDxfId="23"/>
    <tableColumn id="6" xr3:uid="{CEBBB696-2A33-41C2-95B5-3463CBD7F759}" name="Engagement_Rate" dataDxfId="22"/>
    <tableColumn id="7" xr3:uid="{523713CF-DB80-4563-91DF-0E46C81CD95F}" name="Ad_Spend" dataDxfId="21"/>
    <tableColumn id="8" xr3:uid="{56384B1F-9030-4ACB-B598-1026A4ECBC64}" name="Followers_Growth_Rate" dataDxfId="20">
      <calculatedColumnFormula>(Table3[[#This Row],[New_Followers]]-Table3[[#This Row],[Unfollows]])/Table3[[#This Row],[Total_Followers]]</calculatedColumnFormula>
    </tableColumn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44B29F8-E243-40D3-9EA9-B33D6923FE3E}" name="Table4" displayName="Table4" ref="A1:G6" totalsRowShown="0" headerRowBorderDxfId="19" tableBorderDxfId="18" totalsRowBorderDxfId="17">
  <autoFilter ref="A1:G6" xr:uid="{644B29F8-E243-40D3-9EA9-B33D6923FE3E}"/>
  <tableColumns count="7">
    <tableColumn id="1" xr3:uid="{2B0504C9-0B68-423D-9039-FCFFFC2E3512}" name="Campaign_Name" dataDxfId="16"/>
    <tableColumn id="2" xr3:uid="{AC9AC23E-E832-452C-A737-76145EF2811B}" name="Start_Date" dataDxfId="15"/>
    <tableColumn id="3" xr3:uid="{144972E7-7272-4346-8C85-48436959DAB1}" name="End_Date" dataDxfId="14"/>
    <tableColumn id="4" xr3:uid="{91408808-6070-4F28-8F3B-87B8BC060CE7}" name="Objective" dataDxfId="13"/>
    <tableColumn id="5" xr3:uid="{50D88EDC-D614-434E-84C0-09F19D21A754}" name="Ad_Spend" dataDxfId="12"/>
    <tableColumn id="6" xr3:uid="{6F223D06-157E-4EB1-BA77-8B1F7E5B9530}" name="Impressions" dataDxfId="11"/>
    <tableColumn id="7" xr3:uid="{0FCBEE24-8044-4101-A0FA-AAB73561CE55}" name="Engagement_Uplift" dataDxfId="1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73A41-96EA-48FB-80F6-FA010E6EBCE3}">
  <dimension ref="F3:F22"/>
  <sheetViews>
    <sheetView tabSelected="1" workbookViewId="0">
      <selection activeCell="D17" sqref="D17"/>
    </sheetView>
  </sheetViews>
  <sheetFormatPr defaultRowHeight="14.4" x14ac:dyDescent="0.3"/>
  <cols>
    <col min="1" max="1" width="12.109375" customWidth="1"/>
    <col min="6" max="6" width="68.77734375" customWidth="1"/>
  </cols>
  <sheetData>
    <row r="3" spans="6:6" ht="25.8" x14ac:dyDescent="0.5">
      <c r="F3" s="48" t="s">
        <v>371</v>
      </c>
    </row>
    <row r="6" spans="6:6" x14ac:dyDescent="0.3">
      <c r="F6" s="49" t="s">
        <v>372</v>
      </c>
    </row>
    <row r="7" spans="6:6" x14ac:dyDescent="0.3">
      <c r="F7" s="47" t="s">
        <v>360</v>
      </c>
    </row>
    <row r="8" spans="6:6" x14ac:dyDescent="0.3">
      <c r="F8" s="47"/>
    </row>
    <row r="9" spans="6:6" x14ac:dyDescent="0.3">
      <c r="F9" s="47"/>
    </row>
    <row r="10" spans="6:6" x14ac:dyDescent="0.3">
      <c r="F10" s="49" t="s">
        <v>373</v>
      </c>
    </row>
    <row r="11" spans="6:6" x14ac:dyDescent="0.3">
      <c r="F11" s="49" t="s">
        <v>374</v>
      </c>
    </row>
    <row r="12" spans="6:6" x14ac:dyDescent="0.3">
      <c r="F12" s="47"/>
    </row>
    <row r="13" spans="6:6" x14ac:dyDescent="0.3">
      <c r="F13" s="50" t="s">
        <v>370</v>
      </c>
    </row>
    <row r="17" spans="6:6" x14ac:dyDescent="0.3">
      <c r="F17" s="14" t="s">
        <v>375</v>
      </c>
    </row>
    <row r="18" spans="6:6" x14ac:dyDescent="0.3">
      <c r="F18" s="14" t="s">
        <v>364</v>
      </c>
    </row>
    <row r="21" spans="6:6" x14ac:dyDescent="0.3">
      <c r="F21" s="39" t="s">
        <v>376</v>
      </c>
    </row>
    <row r="22" spans="6:6" x14ac:dyDescent="0.3">
      <c r="F22" s="39" t="s">
        <v>377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F9122-E7E9-45F4-B39F-5D9B377B14A0}">
  <dimension ref="A1:M302"/>
  <sheetViews>
    <sheetView workbookViewId="0">
      <selection activeCell="N8" sqref="N8"/>
    </sheetView>
  </sheetViews>
  <sheetFormatPr defaultColWidth="17" defaultRowHeight="14.4" x14ac:dyDescent="0.3"/>
  <cols>
    <col min="13" max="13" width="18.88671875" customWidth="1"/>
  </cols>
  <sheetData>
    <row r="1" spans="1:13" ht="17.399999999999999" customHeight="1" thickBot="1" x14ac:dyDescent="0.35">
      <c r="A1" s="9" t="s">
        <v>335</v>
      </c>
      <c r="B1" s="10" t="s">
        <v>336</v>
      </c>
      <c r="C1" s="10" t="s">
        <v>337</v>
      </c>
      <c r="D1" s="10" t="s">
        <v>325</v>
      </c>
      <c r="E1" s="10" t="s">
        <v>326</v>
      </c>
      <c r="F1" s="11" t="s">
        <v>327</v>
      </c>
      <c r="G1" s="11" t="s">
        <v>328</v>
      </c>
      <c r="H1" s="11" t="s">
        <v>329</v>
      </c>
      <c r="I1" s="11" t="s">
        <v>330</v>
      </c>
      <c r="J1" s="11" t="s">
        <v>331</v>
      </c>
      <c r="K1" s="11" t="s">
        <v>332</v>
      </c>
      <c r="L1" s="10" t="s">
        <v>334</v>
      </c>
      <c r="M1" s="40" t="s">
        <v>333</v>
      </c>
    </row>
    <row r="2" spans="1:13" ht="17.399999999999999" customHeight="1" thickBot="1" x14ac:dyDescent="0.35">
      <c r="A2" s="1" t="s">
        <v>0</v>
      </c>
      <c r="B2" s="1" t="s">
        <v>1</v>
      </c>
      <c r="C2" s="2">
        <v>45497</v>
      </c>
      <c r="D2" s="1" t="s">
        <v>2</v>
      </c>
      <c r="E2" s="1" t="s">
        <v>3</v>
      </c>
      <c r="F2" s="3">
        <v>22914</v>
      </c>
      <c r="G2" s="3">
        <v>954</v>
      </c>
      <c r="H2" s="3">
        <v>584</v>
      </c>
      <c r="I2" s="3">
        <v>1519</v>
      </c>
      <c r="J2" s="3">
        <v>13637</v>
      </c>
      <c r="K2" s="3">
        <v>49847</v>
      </c>
      <c r="L2" s="1" t="s">
        <v>4</v>
      </c>
      <c r="M2" s="41">
        <f>(F2+G2+H2)/Table23[[#This Row],[Impressions]]</f>
        <v>0.49054105563022848</v>
      </c>
    </row>
    <row r="3" spans="1:13" ht="17.399999999999999" customHeight="1" thickBot="1" x14ac:dyDescent="0.35">
      <c r="A3" s="1" t="s">
        <v>5</v>
      </c>
      <c r="B3" s="1" t="s">
        <v>6</v>
      </c>
      <c r="C3" s="2">
        <v>45672</v>
      </c>
      <c r="D3" s="1" t="s">
        <v>7</v>
      </c>
      <c r="E3" s="1" t="s">
        <v>8</v>
      </c>
      <c r="F3" s="3">
        <v>20360</v>
      </c>
      <c r="G3" s="3">
        <v>254</v>
      </c>
      <c r="H3" s="3">
        <v>726</v>
      </c>
      <c r="I3" s="3">
        <v>1995</v>
      </c>
      <c r="J3" s="3">
        <v>14280</v>
      </c>
      <c r="K3" s="3">
        <v>43726</v>
      </c>
      <c r="L3" s="1" t="s">
        <v>9</v>
      </c>
      <c r="M3" s="41">
        <f>(F3+G3+H3)/Table23[[#This Row],[Impressions]]</f>
        <v>0.48803915290673738</v>
      </c>
    </row>
    <row r="4" spans="1:13" ht="17.399999999999999" customHeight="1" thickBot="1" x14ac:dyDescent="0.35">
      <c r="A4" s="1" t="s">
        <v>10</v>
      </c>
      <c r="B4" s="1" t="s">
        <v>1</v>
      </c>
      <c r="C4" s="2">
        <v>45502</v>
      </c>
      <c r="D4" s="1" t="s">
        <v>2</v>
      </c>
      <c r="E4" s="1" t="s">
        <v>11</v>
      </c>
      <c r="F4" s="3">
        <v>19144</v>
      </c>
      <c r="G4" s="3">
        <v>1182</v>
      </c>
      <c r="H4" s="3">
        <v>860</v>
      </c>
      <c r="I4" s="3">
        <v>1398</v>
      </c>
      <c r="J4" s="3">
        <v>4185</v>
      </c>
      <c r="K4" s="3">
        <v>46570</v>
      </c>
      <c r="L4" s="1" t="s">
        <v>4</v>
      </c>
      <c r="M4" s="41">
        <f>(F4+G4+H4)/Table23[[#This Row],[Impressions]]</f>
        <v>0.454928065278076</v>
      </c>
    </row>
    <row r="5" spans="1:13" ht="17.399999999999999" customHeight="1" thickBot="1" x14ac:dyDescent="0.35">
      <c r="A5" s="1" t="s">
        <v>12</v>
      </c>
      <c r="B5" s="1" t="s">
        <v>13</v>
      </c>
      <c r="C5" s="2">
        <v>45684</v>
      </c>
      <c r="D5" s="1" t="s">
        <v>14</v>
      </c>
      <c r="E5" s="1" t="s">
        <v>15</v>
      </c>
      <c r="F5" s="3">
        <v>24415</v>
      </c>
      <c r="G5" s="3">
        <v>860</v>
      </c>
      <c r="H5" s="3">
        <v>931</v>
      </c>
      <c r="I5" s="3">
        <v>320</v>
      </c>
      <c r="J5" s="3">
        <v>65049</v>
      </c>
      <c r="K5" s="3">
        <v>62911</v>
      </c>
      <c r="L5" s="1" t="s">
        <v>4</v>
      </c>
      <c r="M5" s="41">
        <f>(F5+G5+H5)/Table23[[#This Row],[Impressions]]</f>
        <v>0.41655672298962027</v>
      </c>
    </row>
    <row r="6" spans="1:13" ht="17.399999999999999" customHeight="1" thickBot="1" x14ac:dyDescent="0.35">
      <c r="A6" s="1" t="s">
        <v>16</v>
      </c>
      <c r="B6" s="1" t="s">
        <v>6</v>
      </c>
      <c r="C6" s="2">
        <v>45614</v>
      </c>
      <c r="D6" s="1" t="s">
        <v>17</v>
      </c>
      <c r="E6" s="1" t="s">
        <v>3</v>
      </c>
      <c r="F6" s="3">
        <v>21255</v>
      </c>
      <c r="G6" s="3">
        <v>1452</v>
      </c>
      <c r="H6" s="3">
        <v>625</v>
      </c>
      <c r="I6" s="3">
        <v>1624</v>
      </c>
      <c r="J6" s="3">
        <v>21282</v>
      </c>
      <c r="K6" s="3">
        <v>57778</v>
      </c>
      <c r="L6" s="1" t="s">
        <v>18</v>
      </c>
      <c r="M6" s="41">
        <f>(F6+G6+H6)/Table23[[#This Row],[Impressions]]</f>
        <v>0.40382152376337016</v>
      </c>
    </row>
    <row r="7" spans="1:13" ht="17.399999999999999" customHeight="1" thickBot="1" x14ac:dyDescent="0.35">
      <c r="A7" s="1" t="s">
        <v>19</v>
      </c>
      <c r="B7" s="1" t="s">
        <v>13</v>
      </c>
      <c r="C7" s="2">
        <v>45457</v>
      </c>
      <c r="D7" s="1" t="s">
        <v>2</v>
      </c>
      <c r="E7" s="1" t="s">
        <v>15</v>
      </c>
      <c r="F7" s="3">
        <v>17183</v>
      </c>
      <c r="G7" s="3">
        <v>1224</v>
      </c>
      <c r="H7" s="3">
        <v>943</v>
      </c>
      <c r="I7" s="3">
        <v>2010</v>
      </c>
      <c r="J7" s="3">
        <v>21481</v>
      </c>
      <c r="K7" s="3">
        <v>49110</v>
      </c>
      <c r="L7" s="1" t="s">
        <v>20</v>
      </c>
      <c r="M7" s="41">
        <f>(F7+G7+H7)/Table23[[#This Row],[Impressions]]</f>
        <v>0.39401343921808185</v>
      </c>
    </row>
    <row r="8" spans="1:13" ht="17.399999999999999" customHeight="1" thickBot="1" x14ac:dyDescent="0.35">
      <c r="A8" s="1" t="s">
        <v>21</v>
      </c>
      <c r="B8" s="1" t="s">
        <v>22</v>
      </c>
      <c r="C8" s="2">
        <v>45519</v>
      </c>
      <c r="D8" s="1" t="s">
        <v>2</v>
      </c>
      <c r="E8" s="1" t="s">
        <v>23</v>
      </c>
      <c r="F8" s="3">
        <v>14977</v>
      </c>
      <c r="G8" s="3">
        <v>274</v>
      </c>
      <c r="H8" s="3">
        <v>798</v>
      </c>
      <c r="I8" s="3">
        <v>458</v>
      </c>
      <c r="J8" s="3">
        <v>6636</v>
      </c>
      <c r="K8" s="3">
        <v>43654</v>
      </c>
      <c r="L8" s="1" t="s">
        <v>4</v>
      </c>
      <c r="M8" s="41">
        <f>(F8+G8+H8)/Table23[[#This Row],[Impressions]]</f>
        <v>0.36764099509781462</v>
      </c>
    </row>
    <row r="9" spans="1:13" ht="17.399999999999999" customHeight="1" thickBot="1" x14ac:dyDescent="0.35">
      <c r="A9" s="1" t="s">
        <v>24</v>
      </c>
      <c r="B9" s="1" t="s">
        <v>13</v>
      </c>
      <c r="C9" s="5">
        <v>45908</v>
      </c>
      <c r="D9" s="1" t="s">
        <v>7</v>
      </c>
      <c r="E9" s="1" t="s">
        <v>25</v>
      </c>
      <c r="F9" s="3">
        <v>23785</v>
      </c>
      <c r="G9" s="3">
        <v>1013</v>
      </c>
      <c r="H9" s="3">
        <v>468</v>
      </c>
      <c r="I9" s="3">
        <v>1628</v>
      </c>
      <c r="J9" s="3">
        <v>8272</v>
      </c>
      <c r="K9" s="3">
        <v>71348</v>
      </c>
      <c r="L9" s="1" t="s">
        <v>26</v>
      </c>
      <c r="M9" s="41">
        <f>(F9+G9+H9)/Table23[[#This Row],[Impressions]]</f>
        <v>0.35412345125301342</v>
      </c>
    </row>
    <row r="10" spans="1:13" ht="17.399999999999999" customHeight="1" thickBot="1" x14ac:dyDescent="0.35">
      <c r="A10" s="1" t="s">
        <v>27</v>
      </c>
      <c r="B10" s="1" t="s">
        <v>13</v>
      </c>
      <c r="C10" s="5">
        <v>45909</v>
      </c>
      <c r="D10" s="1" t="s">
        <v>14</v>
      </c>
      <c r="E10" s="1" t="s">
        <v>3</v>
      </c>
      <c r="F10" s="3">
        <v>19260</v>
      </c>
      <c r="G10" s="3">
        <v>668</v>
      </c>
      <c r="H10" s="3">
        <v>994</v>
      </c>
      <c r="I10" s="3">
        <v>934</v>
      </c>
      <c r="J10" s="3">
        <v>20509</v>
      </c>
      <c r="K10" s="3">
        <v>61636</v>
      </c>
      <c r="L10" s="1" t="s">
        <v>26</v>
      </c>
      <c r="M10" s="41">
        <f>(F10+G10+H10)/Table23[[#This Row],[Impressions]]</f>
        <v>0.33944448049841003</v>
      </c>
    </row>
    <row r="11" spans="1:13" ht="17.399999999999999" customHeight="1" thickBot="1" x14ac:dyDescent="0.35">
      <c r="A11" s="1" t="s">
        <v>28</v>
      </c>
      <c r="B11" s="1" t="s">
        <v>22</v>
      </c>
      <c r="C11" s="2">
        <v>45668</v>
      </c>
      <c r="D11" s="1" t="s">
        <v>14</v>
      </c>
      <c r="E11" s="1" t="s">
        <v>29</v>
      </c>
      <c r="F11" s="3">
        <v>21181</v>
      </c>
      <c r="G11" s="3">
        <v>1242</v>
      </c>
      <c r="H11" s="3">
        <v>963</v>
      </c>
      <c r="I11" s="3">
        <v>1689</v>
      </c>
      <c r="J11" s="3">
        <v>49329</v>
      </c>
      <c r="K11" s="3">
        <v>69165</v>
      </c>
      <c r="L11" s="1" t="s">
        <v>4</v>
      </c>
      <c r="M11" s="41">
        <f>(F11+G11+H11)/Table23[[#This Row],[Impressions]]</f>
        <v>0.33811899081905589</v>
      </c>
    </row>
    <row r="12" spans="1:13" ht="17.399999999999999" customHeight="1" thickBot="1" x14ac:dyDescent="0.35">
      <c r="A12" s="1" t="s">
        <v>30</v>
      </c>
      <c r="B12" s="1" t="s">
        <v>13</v>
      </c>
      <c r="C12" s="2">
        <v>45692</v>
      </c>
      <c r="D12" s="1" t="s">
        <v>17</v>
      </c>
      <c r="E12" s="1" t="s">
        <v>25</v>
      </c>
      <c r="F12" s="3">
        <v>23833</v>
      </c>
      <c r="G12" s="3">
        <v>555</v>
      </c>
      <c r="H12" s="3">
        <v>523</v>
      </c>
      <c r="I12" s="3">
        <v>1330</v>
      </c>
      <c r="J12" s="3">
        <v>69141</v>
      </c>
      <c r="K12" s="3">
        <v>73997</v>
      </c>
      <c r="L12" s="1" t="s">
        <v>9</v>
      </c>
      <c r="M12" s="41">
        <f>(F12+G12+H12)/Table23[[#This Row],[Impressions]]</f>
        <v>0.33664878305877266</v>
      </c>
    </row>
    <row r="13" spans="1:13" ht="17.399999999999999" customHeight="1" thickBot="1" x14ac:dyDescent="0.35">
      <c r="A13" s="1" t="s">
        <v>31</v>
      </c>
      <c r="B13" s="1" t="s">
        <v>1</v>
      </c>
      <c r="C13" s="2">
        <v>45465</v>
      </c>
      <c r="D13" s="1" t="s">
        <v>17</v>
      </c>
      <c r="E13" s="1" t="s">
        <v>11</v>
      </c>
      <c r="F13" s="3">
        <v>13479</v>
      </c>
      <c r="G13" s="3">
        <v>1189</v>
      </c>
      <c r="H13" s="3">
        <v>695</v>
      </c>
      <c r="I13" s="3">
        <v>416</v>
      </c>
      <c r="J13" s="3">
        <v>30229</v>
      </c>
      <c r="K13" s="3">
        <v>45704</v>
      </c>
      <c r="L13" s="1" t="s">
        <v>4</v>
      </c>
      <c r="M13" s="41">
        <f>(F13+G13+H13)/Table23[[#This Row],[Impressions]]</f>
        <v>0.33614125678277612</v>
      </c>
    </row>
    <row r="14" spans="1:13" ht="17.399999999999999" customHeight="1" thickBot="1" x14ac:dyDescent="0.35">
      <c r="A14" s="1" t="s">
        <v>32</v>
      </c>
      <c r="B14" s="1" t="s">
        <v>22</v>
      </c>
      <c r="C14" s="2">
        <v>45671</v>
      </c>
      <c r="D14" s="1" t="s">
        <v>17</v>
      </c>
      <c r="E14" s="1" t="s">
        <v>15</v>
      </c>
      <c r="F14" s="3">
        <v>24350</v>
      </c>
      <c r="G14" s="3">
        <v>460</v>
      </c>
      <c r="H14" s="3">
        <v>666</v>
      </c>
      <c r="I14" s="3">
        <v>814</v>
      </c>
      <c r="J14" s="3">
        <v>21120</v>
      </c>
      <c r="K14" s="3">
        <v>76914</v>
      </c>
      <c r="L14" s="1" t="s">
        <v>4</v>
      </c>
      <c r="M14" s="41">
        <f>(F14+G14+H14)/Table23[[#This Row],[Impressions]]</f>
        <v>0.33122708479600593</v>
      </c>
    </row>
    <row r="15" spans="1:13" ht="17.399999999999999" customHeight="1" thickBot="1" x14ac:dyDescent="0.35">
      <c r="A15" s="1" t="s">
        <v>33</v>
      </c>
      <c r="B15" s="1" t="s">
        <v>13</v>
      </c>
      <c r="C15" s="2">
        <v>45608</v>
      </c>
      <c r="D15" s="1" t="s">
        <v>2</v>
      </c>
      <c r="E15" s="1" t="s">
        <v>34</v>
      </c>
      <c r="F15" s="3">
        <v>17913</v>
      </c>
      <c r="G15" s="3">
        <v>1311</v>
      </c>
      <c r="H15" s="3">
        <v>859</v>
      </c>
      <c r="I15" s="3">
        <v>405</v>
      </c>
      <c r="J15" s="3">
        <v>59842</v>
      </c>
      <c r="K15" s="3">
        <v>62612</v>
      </c>
      <c r="L15" s="1" t="s">
        <v>20</v>
      </c>
      <c r="M15" s="41">
        <f>(F15+G15+H15)/Table23[[#This Row],[Impressions]]</f>
        <v>0.32075321024723696</v>
      </c>
    </row>
    <row r="16" spans="1:13" ht="17.399999999999999" customHeight="1" thickBot="1" x14ac:dyDescent="0.35">
      <c r="A16" s="1" t="s">
        <v>35</v>
      </c>
      <c r="B16" s="1" t="s">
        <v>1</v>
      </c>
      <c r="C16" s="2">
        <v>45715</v>
      </c>
      <c r="D16" s="1" t="s">
        <v>14</v>
      </c>
      <c r="E16" s="1" t="s">
        <v>29</v>
      </c>
      <c r="F16" s="3">
        <v>16178</v>
      </c>
      <c r="G16" s="3">
        <v>1048</v>
      </c>
      <c r="H16" s="3">
        <v>871</v>
      </c>
      <c r="I16" s="3">
        <v>2553</v>
      </c>
      <c r="J16" s="3">
        <v>39025</v>
      </c>
      <c r="K16" s="3">
        <v>59508</v>
      </c>
      <c r="L16" s="1" t="s">
        <v>4</v>
      </c>
      <c r="M16" s="41">
        <f>(F16+G16+H16)/Table23[[#This Row],[Impressions]]</f>
        <v>0.30411037171472743</v>
      </c>
    </row>
    <row r="17" spans="1:13" ht="17.399999999999999" customHeight="1" thickBot="1" x14ac:dyDescent="0.35">
      <c r="A17" s="1" t="s">
        <v>36</v>
      </c>
      <c r="B17" s="1" t="s">
        <v>6</v>
      </c>
      <c r="C17" s="2">
        <v>45499</v>
      </c>
      <c r="D17" s="1" t="s">
        <v>2</v>
      </c>
      <c r="E17" s="1" t="s">
        <v>37</v>
      </c>
      <c r="F17" s="3">
        <v>18282</v>
      </c>
      <c r="G17" s="3">
        <v>224</v>
      </c>
      <c r="H17" s="3">
        <v>962</v>
      </c>
      <c r="I17" s="3">
        <v>890</v>
      </c>
      <c r="J17" s="3">
        <v>35105</v>
      </c>
      <c r="K17" s="3">
        <v>64089</v>
      </c>
      <c r="L17" s="1" t="s">
        <v>9</v>
      </c>
      <c r="M17" s="41">
        <f>(F17+G17+H17)/Table23[[#This Row],[Impressions]]</f>
        <v>0.30376507669022768</v>
      </c>
    </row>
    <row r="18" spans="1:13" ht="17.399999999999999" customHeight="1" thickBot="1" x14ac:dyDescent="0.35">
      <c r="A18" s="1" t="s">
        <v>38</v>
      </c>
      <c r="B18" s="1" t="s">
        <v>22</v>
      </c>
      <c r="C18" s="2">
        <v>45488</v>
      </c>
      <c r="D18" s="1" t="s">
        <v>7</v>
      </c>
      <c r="E18" s="1" t="s">
        <v>3</v>
      </c>
      <c r="F18" s="3">
        <v>14891</v>
      </c>
      <c r="G18" s="3">
        <v>674</v>
      </c>
      <c r="H18" s="3">
        <v>521</v>
      </c>
      <c r="I18" s="3">
        <v>1091</v>
      </c>
      <c r="J18" s="3">
        <v>18101</v>
      </c>
      <c r="K18" s="3">
        <v>53669</v>
      </c>
      <c r="L18" s="1" t="s">
        <v>4</v>
      </c>
      <c r="M18" s="41">
        <f>(F18+G18+H18)/Table23[[#This Row],[Impressions]]</f>
        <v>0.29972609886526674</v>
      </c>
    </row>
    <row r="19" spans="1:13" ht="17.399999999999999" customHeight="1" thickBot="1" x14ac:dyDescent="0.35">
      <c r="A19" s="1" t="s">
        <v>39</v>
      </c>
      <c r="B19" s="1" t="s">
        <v>22</v>
      </c>
      <c r="C19" s="2">
        <v>45580</v>
      </c>
      <c r="D19" s="1" t="s">
        <v>17</v>
      </c>
      <c r="E19" s="1" t="s">
        <v>8</v>
      </c>
      <c r="F19" s="3">
        <v>17781</v>
      </c>
      <c r="G19" s="3">
        <v>993</v>
      </c>
      <c r="H19" s="3">
        <v>627</v>
      </c>
      <c r="I19" s="3">
        <v>2187</v>
      </c>
      <c r="J19" s="3">
        <v>9609</v>
      </c>
      <c r="K19" s="3">
        <v>66155</v>
      </c>
      <c r="L19" s="1" t="s">
        <v>9</v>
      </c>
      <c r="M19" s="41">
        <f>(F19+G19+H19)/Table23[[#This Row],[Impressions]]</f>
        <v>0.29326581513113142</v>
      </c>
    </row>
    <row r="20" spans="1:13" ht="17.399999999999999" customHeight="1" thickBot="1" x14ac:dyDescent="0.35">
      <c r="A20" s="1" t="s">
        <v>40</v>
      </c>
      <c r="B20" s="1" t="s">
        <v>13</v>
      </c>
      <c r="C20" s="5">
        <v>45918</v>
      </c>
      <c r="D20" s="1" t="s">
        <v>7</v>
      </c>
      <c r="E20" s="1" t="s">
        <v>37</v>
      </c>
      <c r="F20" s="3">
        <v>10152</v>
      </c>
      <c r="G20" s="3">
        <v>1445</v>
      </c>
      <c r="H20" s="3">
        <v>526</v>
      </c>
      <c r="I20" s="3">
        <v>513</v>
      </c>
      <c r="J20" s="3">
        <v>18959</v>
      </c>
      <c r="K20" s="3">
        <v>43712</v>
      </c>
      <c r="L20" s="1" t="s">
        <v>26</v>
      </c>
      <c r="M20" s="41">
        <f>(F20+G20+H20)/Table23[[#This Row],[Impressions]]</f>
        <v>0.27733803074670571</v>
      </c>
    </row>
    <row r="21" spans="1:13" ht="17.399999999999999" customHeight="1" thickBot="1" x14ac:dyDescent="0.35">
      <c r="A21" s="1" t="s">
        <v>41</v>
      </c>
      <c r="B21" s="1" t="s">
        <v>22</v>
      </c>
      <c r="C21" s="5">
        <v>45932</v>
      </c>
      <c r="D21" s="1" t="s">
        <v>17</v>
      </c>
      <c r="E21" s="1" t="s">
        <v>34</v>
      </c>
      <c r="F21" s="3">
        <v>12161</v>
      </c>
      <c r="G21" s="3">
        <v>736</v>
      </c>
      <c r="H21" s="3">
        <v>876</v>
      </c>
      <c r="I21" s="3">
        <v>1233</v>
      </c>
      <c r="J21" s="3">
        <v>21337</v>
      </c>
      <c r="K21" s="3">
        <v>50225</v>
      </c>
      <c r="L21" s="1" t="s">
        <v>26</v>
      </c>
      <c r="M21" s="41">
        <f>(F21+G21+H21)/Table23[[#This Row],[Impressions]]</f>
        <v>0.27422598307615731</v>
      </c>
    </row>
    <row r="22" spans="1:13" ht="17.399999999999999" customHeight="1" thickBot="1" x14ac:dyDescent="0.35">
      <c r="A22" s="1" t="s">
        <v>42</v>
      </c>
      <c r="B22" s="1" t="s">
        <v>6</v>
      </c>
      <c r="C22" s="5">
        <v>45904</v>
      </c>
      <c r="D22" s="1" t="s">
        <v>2</v>
      </c>
      <c r="E22" s="1" t="s">
        <v>11</v>
      </c>
      <c r="F22" s="3">
        <v>21708</v>
      </c>
      <c r="G22" s="3">
        <v>435</v>
      </c>
      <c r="H22" s="3">
        <v>317</v>
      </c>
      <c r="I22" s="3">
        <v>1213</v>
      </c>
      <c r="J22" s="3">
        <v>70701</v>
      </c>
      <c r="K22" s="3">
        <v>83585</v>
      </c>
      <c r="L22" s="1" t="s">
        <v>26</v>
      </c>
      <c r="M22" s="41">
        <f>(F22+G22+H22)/Table23[[#This Row],[Impressions]]</f>
        <v>0.26870850032900639</v>
      </c>
    </row>
    <row r="23" spans="1:13" ht="17.399999999999999" customHeight="1" thickBot="1" x14ac:dyDescent="0.35">
      <c r="A23" s="1" t="s">
        <v>43</v>
      </c>
      <c r="B23" s="1" t="s">
        <v>1</v>
      </c>
      <c r="C23" s="2">
        <v>45456</v>
      </c>
      <c r="D23" s="1" t="s">
        <v>14</v>
      </c>
      <c r="E23" s="1" t="s">
        <v>11</v>
      </c>
      <c r="F23" s="3">
        <v>14173</v>
      </c>
      <c r="G23" s="3">
        <v>294</v>
      </c>
      <c r="H23" s="3">
        <v>257</v>
      </c>
      <c r="I23" s="3">
        <v>1288</v>
      </c>
      <c r="J23" s="3">
        <v>39466</v>
      </c>
      <c r="K23" s="3">
        <v>55563</v>
      </c>
      <c r="L23" s="1" t="s">
        <v>18</v>
      </c>
      <c r="M23" s="41">
        <f>(F23+G23+H23)/Table23[[#This Row],[Impressions]]</f>
        <v>0.26499649047027696</v>
      </c>
    </row>
    <row r="24" spans="1:13" ht="17.399999999999999" customHeight="1" thickBot="1" x14ac:dyDescent="0.35">
      <c r="A24" s="1" t="s">
        <v>44</v>
      </c>
      <c r="B24" s="1" t="s">
        <v>1</v>
      </c>
      <c r="C24" s="2">
        <v>45526</v>
      </c>
      <c r="D24" s="1" t="s">
        <v>2</v>
      </c>
      <c r="E24" s="1" t="s">
        <v>45</v>
      </c>
      <c r="F24" s="3">
        <v>16124</v>
      </c>
      <c r="G24" s="3">
        <v>863</v>
      </c>
      <c r="H24" s="3">
        <v>337</v>
      </c>
      <c r="I24" s="3">
        <v>819</v>
      </c>
      <c r="J24" s="3">
        <v>85788</v>
      </c>
      <c r="K24" s="3">
        <v>68625</v>
      </c>
      <c r="L24" s="1" t="s">
        <v>9</v>
      </c>
      <c r="M24" s="41">
        <f>(F24+G24+H24)/Table23[[#This Row],[Impressions]]</f>
        <v>0.25244444444444447</v>
      </c>
    </row>
    <row r="25" spans="1:13" ht="17.399999999999999" customHeight="1" thickBot="1" x14ac:dyDescent="0.35">
      <c r="A25" s="1" t="s">
        <v>46</v>
      </c>
      <c r="B25" s="1" t="s">
        <v>6</v>
      </c>
      <c r="C25" s="2">
        <v>45445</v>
      </c>
      <c r="D25" s="1" t="s">
        <v>2</v>
      </c>
      <c r="E25" s="1" t="s">
        <v>29</v>
      </c>
      <c r="F25" s="3">
        <v>14199</v>
      </c>
      <c r="G25" s="3">
        <v>1206</v>
      </c>
      <c r="H25" s="3">
        <v>954</v>
      </c>
      <c r="I25" s="3">
        <v>2009</v>
      </c>
      <c r="J25" s="3">
        <v>8</v>
      </c>
      <c r="K25" s="3">
        <v>65537</v>
      </c>
      <c r="L25" s="1" t="s">
        <v>20</v>
      </c>
      <c r="M25" s="41">
        <f>(F25+G25+H25)/Table23[[#This Row],[Impressions]]</f>
        <v>0.24961472145505592</v>
      </c>
    </row>
    <row r="26" spans="1:13" ht="17.399999999999999" customHeight="1" thickBot="1" x14ac:dyDescent="0.35">
      <c r="A26" s="1" t="s">
        <v>47</v>
      </c>
      <c r="B26" s="1" t="s">
        <v>13</v>
      </c>
      <c r="C26" s="5">
        <v>45908</v>
      </c>
      <c r="D26" s="1" t="s">
        <v>17</v>
      </c>
      <c r="E26" s="1" t="s">
        <v>45</v>
      </c>
      <c r="F26" s="3">
        <v>22309</v>
      </c>
      <c r="G26" s="3">
        <v>773</v>
      </c>
      <c r="H26" s="3">
        <v>854</v>
      </c>
      <c r="I26" s="3">
        <v>2387</v>
      </c>
      <c r="J26" s="3">
        <v>72396</v>
      </c>
      <c r="K26" s="3">
        <v>97056</v>
      </c>
      <c r="L26" s="1" t="s">
        <v>26</v>
      </c>
      <c r="M26" s="41">
        <f>(F26+G26+H26)/Table23[[#This Row],[Impressions]]</f>
        <v>0.24662050774810418</v>
      </c>
    </row>
    <row r="27" spans="1:13" ht="17.399999999999999" customHeight="1" thickBot="1" x14ac:dyDescent="0.35">
      <c r="A27" s="1" t="s">
        <v>48</v>
      </c>
      <c r="B27" s="1" t="s">
        <v>22</v>
      </c>
      <c r="C27" s="5">
        <v>45913</v>
      </c>
      <c r="D27" s="1" t="s">
        <v>2</v>
      </c>
      <c r="E27" s="1" t="s">
        <v>45</v>
      </c>
      <c r="F27" s="3">
        <v>15046</v>
      </c>
      <c r="G27" s="3">
        <v>281</v>
      </c>
      <c r="H27" s="3">
        <v>515</v>
      </c>
      <c r="I27" s="3">
        <v>550</v>
      </c>
      <c r="J27" s="3">
        <v>22583</v>
      </c>
      <c r="K27" s="3">
        <v>64596</v>
      </c>
      <c r="L27" s="1" t="s">
        <v>26</v>
      </c>
      <c r="M27" s="41">
        <f>(F27+G27+H27)/Table23[[#This Row],[Impressions]]</f>
        <v>0.24524738373893121</v>
      </c>
    </row>
    <row r="28" spans="1:13" ht="17.399999999999999" customHeight="1" thickBot="1" x14ac:dyDescent="0.35">
      <c r="A28" s="1" t="s">
        <v>49</v>
      </c>
      <c r="B28" s="1" t="s">
        <v>13</v>
      </c>
      <c r="C28" s="2">
        <v>45603</v>
      </c>
      <c r="D28" s="1" t="s">
        <v>17</v>
      </c>
      <c r="E28" s="1" t="s">
        <v>8</v>
      </c>
      <c r="F28" s="3">
        <v>17254</v>
      </c>
      <c r="G28" s="3">
        <v>246</v>
      </c>
      <c r="H28" s="3">
        <v>952</v>
      </c>
      <c r="I28" s="3">
        <v>871</v>
      </c>
      <c r="J28" s="3">
        <v>14957</v>
      </c>
      <c r="K28" s="3">
        <v>75946</v>
      </c>
      <c r="L28" s="1" t="s">
        <v>18</v>
      </c>
      <c r="M28" s="41">
        <f>(F28+G28+H28)/Table23[[#This Row],[Impressions]]</f>
        <v>0.24296210465330631</v>
      </c>
    </row>
    <row r="29" spans="1:13" ht="17.399999999999999" customHeight="1" thickBot="1" x14ac:dyDescent="0.35">
      <c r="A29" s="1" t="s">
        <v>50</v>
      </c>
      <c r="B29" s="1" t="s">
        <v>22</v>
      </c>
      <c r="C29" s="2">
        <v>45502</v>
      </c>
      <c r="D29" s="1" t="s">
        <v>7</v>
      </c>
      <c r="E29" s="1" t="s">
        <v>11</v>
      </c>
      <c r="F29" s="3">
        <v>22590</v>
      </c>
      <c r="G29" s="3">
        <v>1462</v>
      </c>
      <c r="H29" s="3">
        <v>966</v>
      </c>
      <c r="I29" s="3">
        <v>2463</v>
      </c>
      <c r="J29" s="3">
        <v>29689</v>
      </c>
      <c r="K29" s="3">
        <v>103449</v>
      </c>
      <c r="L29" s="1" t="s">
        <v>20</v>
      </c>
      <c r="M29" s="41">
        <f>(F29+G29+H29)/Table23[[#This Row],[Impressions]]</f>
        <v>0.24183897379385011</v>
      </c>
    </row>
    <row r="30" spans="1:13" ht="17.399999999999999" customHeight="1" thickBot="1" x14ac:dyDescent="0.35">
      <c r="A30" s="1" t="s">
        <v>51</v>
      </c>
      <c r="B30" s="1" t="s">
        <v>6</v>
      </c>
      <c r="C30" s="2">
        <v>45456</v>
      </c>
      <c r="D30" s="1" t="s">
        <v>17</v>
      </c>
      <c r="E30" s="1" t="s">
        <v>25</v>
      </c>
      <c r="F30" s="3">
        <v>23164</v>
      </c>
      <c r="G30" s="3">
        <v>1122</v>
      </c>
      <c r="H30" s="3">
        <v>900</v>
      </c>
      <c r="I30" s="3">
        <v>888</v>
      </c>
      <c r="J30" s="3">
        <v>36938</v>
      </c>
      <c r="K30" s="3">
        <v>104674</v>
      </c>
      <c r="L30" s="1" t="s">
        <v>4</v>
      </c>
      <c r="M30" s="41">
        <f>(F30+G30+H30)/Table23[[#This Row],[Impressions]]</f>
        <v>0.24061371496264594</v>
      </c>
    </row>
    <row r="31" spans="1:13" ht="17.399999999999999" customHeight="1" thickBot="1" x14ac:dyDescent="0.35">
      <c r="A31" s="1" t="s">
        <v>52</v>
      </c>
      <c r="B31" s="1" t="s">
        <v>1</v>
      </c>
      <c r="C31" s="5">
        <v>45905</v>
      </c>
      <c r="D31" s="1" t="s">
        <v>14</v>
      </c>
      <c r="E31" s="1" t="s">
        <v>8</v>
      </c>
      <c r="F31" s="3">
        <v>14677</v>
      </c>
      <c r="G31" s="3">
        <v>533</v>
      </c>
      <c r="H31" s="3">
        <v>759</v>
      </c>
      <c r="I31" s="3">
        <v>753</v>
      </c>
      <c r="J31" s="3">
        <v>23275</v>
      </c>
      <c r="K31" s="3">
        <v>66958</v>
      </c>
      <c r="L31" s="1" t="s">
        <v>26</v>
      </c>
      <c r="M31" s="41">
        <f>(F31+G31+H31)/Table23[[#This Row],[Impressions]]</f>
        <v>0.23849278652289496</v>
      </c>
    </row>
    <row r="32" spans="1:13" ht="17.399999999999999" customHeight="1" thickBot="1" x14ac:dyDescent="0.35">
      <c r="A32" s="1" t="s">
        <v>53</v>
      </c>
      <c r="B32" s="1" t="s">
        <v>22</v>
      </c>
      <c r="C32" s="2">
        <v>45624</v>
      </c>
      <c r="D32" s="1" t="s">
        <v>17</v>
      </c>
      <c r="E32" s="1" t="s">
        <v>3</v>
      </c>
      <c r="F32" s="3">
        <v>18644</v>
      </c>
      <c r="G32" s="3">
        <v>1369</v>
      </c>
      <c r="H32" s="3">
        <v>887</v>
      </c>
      <c r="I32" s="3">
        <v>1256</v>
      </c>
      <c r="J32" s="3">
        <v>43415</v>
      </c>
      <c r="K32" s="3">
        <v>88368</v>
      </c>
      <c r="L32" s="1" t="s">
        <v>20</v>
      </c>
      <c r="M32" s="41">
        <f>(F32+G32+H32)/Table23[[#This Row],[Impressions]]</f>
        <v>0.23651095419156257</v>
      </c>
    </row>
    <row r="33" spans="1:13" ht="17.399999999999999" customHeight="1" thickBot="1" x14ac:dyDescent="0.35">
      <c r="A33" s="1" t="s">
        <v>54</v>
      </c>
      <c r="B33" s="1" t="s">
        <v>22</v>
      </c>
      <c r="C33" s="2">
        <v>45528</v>
      </c>
      <c r="D33" s="1" t="s">
        <v>2</v>
      </c>
      <c r="E33" s="1" t="s">
        <v>34</v>
      </c>
      <c r="F33" s="3">
        <v>24890</v>
      </c>
      <c r="G33" s="3">
        <v>217</v>
      </c>
      <c r="H33" s="3">
        <v>178</v>
      </c>
      <c r="I33" s="3">
        <v>906</v>
      </c>
      <c r="J33" s="3">
        <v>54826</v>
      </c>
      <c r="K33" s="3">
        <v>107203</v>
      </c>
      <c r="L33" s="1" t="s">
        <v>20</v>
      </c>
      <c r="M33" s="41">
        <f>(F33+G33+H33)/Table23[[#This Row],[Impressions]]</f>
        <v>0.23586093672751696</v>
      </c>
    </row>
    <row r="34" spans="1:13" ht="17.399999999999999" customHeight="1" thickBot="1" x14ac:dyDescent="0.35">
      <c r="A34" s="1" t="s">
        <v>55</v>
      </c>
      <c r="B34" s="1" t="s">
        <v>6</v>
      </c>
      <c r="C34" s="2">
        <v>45540</v>
      </c>
      <c r="D34" s="1" t="s">
        <v>17</v>
      </c>
      <c r="E34" s="1" t="s">
        <v>37</v>
      </c>
      <c r="F34" s="3">
        <v>16489</v>
      </c>
      <c r="G34" s="3">
        <v>395</v>
      </c>
      <c r="H34" s="3">
        <v>350</v>
      </c>
      <c r="I34" s="3">
        <v>2364</v>
      </c>
      <c r="J34" s="3">
        <v>43239</v>
      </c>
      <c r="K34" s="3">
        <v>73397</v>
      </c>
      <c r="L34" s="1" t="s">
        <v>18</v>
      </c>
      <c r="M34" s="41">
        <f>(F34+G34+H34)/Table23[[#This Row],[Impressions]]</f>
        <v>0.23480523727127811</v>
      </c>
    </row>
    <row r="35" spans="1:13" ht="17.399999999999999" customHeight="1" thickBot="1" x14ac:dyDescent="0.35">
      <c r="A35" s="1" t="s">
        <v>56</v>
      </c>
      <c r="B35" s="1" t="s">
        <v>6</v>
      </c>
      <c r="C35" s="5">
        <v>45919</v>
      </c>
      <c r="D35" s="1" t="s">
        <v>7</v>
      </c>
      <c r="E35" s="1" t="s">
        <v>25</v>
      </c>
      <c r="F35" s="3">
        <v>22128</v>
      </c>
      <c r="G35" s="3">
        <v>1004</v>
      </c>
      <c r="H35" s="3">
        <v>690</v>
      </c>
      <c r="I35" s="3">
        <v>2048</v>
      </c>
      <c r="J35" s="3">
        <v>19443</v>
      </c>
      <c r="K35" s="3">
        <v>103646</v>
      </c>
      <c r="L35" s="1" t="s">
        <v>26</v>
      </c>
      <c r="M35" s="41">
        <f>(F35+G35+H35)/Table23[[#This Row],[Impressions]]</f>
        <v>0.22984003241803833</v>
      </c>
    </row>
    <row r="36" spans="1:13" ht="17.399999999999999" customHeight="1" thickBot="1" x14ac:dyDescent="0.35">
      <c r="A36" s="1" t="s">
        <v>57</v>
      </c>
      <c r="B36" s="1" t="s">
        <v>13</v>
      </c>
      <c r="C36" s="2">
        <v>45457</v>
      </c>
      <c r="D36" s="1" t="s">
        <v>17</v>
      </c>
      <c r="E36" s="1" t="s">
        <v>58</v>
      </c>
      <c r="F36" s="3">
        <v>21856</v>
      </c>
      <c r="G36" s="3">
        <v>1203</v>
      </c>
      <c r="H36" s="3">
        <v>634</v>
      </c>
      <c r="I36" s="3">
        <v>2807</v>
      </c>
      <c r="J36" s="3">
        <v>3647</v>
      </c>
      <c r="K36" s="3">
        <v>104178</v>
      </c>
      <c r="L36" s="1" t="s">
        <v>9</v>
      </c>
      <c r="M36" s="41">
        <f>(F36+G36+H36)/Table23[[#This Row],[Impressions]]</f>
        <v>0.22742805582752595</v>
      </c>
    </row>
    <row r="37" spans="1:13" ht="17.399999999999999" customHeight="1" thickBot="1" x14ac:dyDescent="0.35">
      <c r="A37" s="1" t="s">
        <v>59</v>
      </c>
      <c r="B37" s="1" t="s">
        <v>1</v>
      </c>
      <c r="C37" s="2">
        <v>45695</v>
      </c>
      <c r="D37" s="1" t="s">
        <v>17</v>
      </c>
      <c r="E37" s="1" t="s">
        <v>60</v>
      </c>
      <c r="F37" s="3">
        <v>20290</v>
      </c>
      <c r="G37" s="3">
        <v>619</v>
      </c>
      <c r="H37" s="3">
        <v>927</v>
      </c>
      <c r="I37" s="3">
        <v>1186</v>
      </c>
      <c r="J37" s="3">
        <v>8924</v>
      </c>
      <c r="K37" s="3">
        <v>96503</v>
      </c>
      <c r="L37" s="1" t="s">
        <v>18</v>
      </c>
      <c r="M37" s="41">
        <f>(F37+G37+H37)/Table23[[#This Row],[Impressions]]</f>
        <v>0.22627275835984373</v>
      </c>
    </row>
    <row r="38" spans="1:13" ht="17.399999999999999" customHeight="1" thickBot="1" x14ac:dyDescent="0.35">
      <c r="A38" s="1" t="s">
        <v>61</v>
      </c>
      <c r="B38" s="1" t="s">
        <v>13</v>
      </c>
      <c r="C38" s="2">
        <v>45775</v>
      </c>
      <c r="D38" s="1" t="s">
        <v>17</v>
      </c>
      <c r="E38" s="1" t="s">
        <v>45</v>
      </c>
      <c r="F38" s="3">
        <v>15013</v>
      </c>
      <c r="G38" s="3">
        <v>1286</v>
      </c>
      <c r="H38" s="3">
        <v>599</v>
      </c>
      <c r="I38" s="3">
        <v>2001</v>
      </c>
      <c r="J38" s="3">
        <v>67839</v>
      </c>
      <c r="K38" s="3">
        <v>76059</v>
      </c>
      <c r="L38" s="1" t="s">
        <v>4</v>
      </c>
      <c r="M38" s="41">
        <f>(F38+G38+H38)/Table23[[#This Row],[Impressions]]</f>
        <v>0.22216963147030594</v>
      </c>
    </row>
    <row r="39" spans="1:13" ht="17.399999999999999" customHeight="1" thickBot="1" x14ac:dyDescent="0.35">
      <c r="A39" s="1" t="s">
        <v>62</v>
      </c>
      <c r="B39" s="1" t="s">
        <v>1</v>
      </c>
      <c r="C39" s="2">
        <v>45779</v>
      </c>
      <c r="D39" s="1" t="s">
        <v>7</v>
      </c>
      <c r="E39" s="1" t="s">
        <v>15</v>
      </c>
      <c r="F39" s="3">
        <v>17444</v>
      </c>
      <c r="G39" s="3">
        <v>1402</v>
      </c>
      <c r="H39" s="3">
        <v>218</v>
      </c>
      <c r="I39" s="3">
        <v>725</v>
      </c>
      <c r="J39" s="3">
        <v>8710</v>
      </c>
      <c r="K39" s="3">
        <v>85893</v>
      </c>
      <c r="L39" s="1" t="s">
        <v>18</v>
      </c>
      <c r="M39" s="41">
        <f>(F39+G39+H39)/Table23[[#This Row],[Impressions]]</f>
        <v>0.22195056640238436</v>
      </c>
    </row>
    <row r="40" spans="1:13" ht="17.399999999999999" customHeight="1" thickBot="1" x14ac:dyDescent="0.35">
      <c r="A40" s="1" t="s">
        <v>63</v>
      </c>
      <c r="B40" s="1" t="s">
        <v>13</v>
      </c>
      <c r="C40" s="2">
        <v>45648</v>
      </c>
      <c r="D40" s="1" t="s">
        <v>7</v>
      </c>
      <c r="E40" s="1" t="s">
        <v>60</v>
      </c>
      <c r="F40" s="3">
        <v>7870</v>
      </c>
      <c r="G40" s="3">
        <v>968</v>
      </c>
      <c r="H40" s="3">
        <v>626</v>
      </c>
      <c r="I40" s="3">
        <v>465</v>
      </c>
      <c r="J40" s="3">
        <v>27184</v>
      </c>
      <c r="K40" s="3">
        <v>44114</v>
      </c>
      <c r="L40" s="1" t="s">
        <v>18</v>
      </c>
      <c r="M40" s="41">
        <f>(F40+G40+H40)/Table23[[#This Row],[Impressions]]</f>
        <v>0.2145350682323072</v>
      </c>
    </row>
    <row r="41" spans="1:13" ht="17.399999999999999" customHeight="1" thickBot="1" x14ac:dyDescent="0.35">
      <c r="A41" s="1" t="s">
        <v>64</v>
      </c>
      <c r="B41" s="1" t="s">
        <v>13</v>
      </c>
      <c r="C41" s="2">
        <v>45569</v>
      </c>
      <c r="D41" s="1" t="s">
        <v>14</v>
      </c>
      <c r="E41" s="1" t="s">
        <v>3</v>
      </c>
      <c r="F41" s="3">
        <v>21729</v>
      </c>
      <c r="G41" s="3">
        <v>1209</v>
      </c>
      <c r="H41" s="3">
        <v>897</v>
      </c>
      <c r="I41" s="3">
        <v>1624</v>
      </c>
      <c r="J41" s="3">
        <v>38771</v>
      </c>
      <c r="K41" s="3">
        <v>113297</v>
      </c>
      <c r="L41" s="1" t="s">
        <v>9</v>
      </c>
      <c r="M41" s="41">
        <f>(F41+G41+H41)/Table23[[#This Row],[Impressions]]</f>
        <v>0.21037626768581694</v>
      </c>
    </row>
    <row r="42" spans="1:13" ht="17.399999999999999" customHeight="1" thickBot="1" x14ac:dyDescent="0.35">
      <c r="A42" s="1" t="s">
        <v>65</v>
      </c>
      <c r="B42" s="1" t="s">
        <v>13</v>
      </c>
      <c r="C42" s="5">
        <v>45915</v>
      </c>
      <c r="D42" s="1" t="s">
        <v>14</v>
      </c>
      <c r="E42" s="1" t="s">
        <v>3</v>
      </c>
      <c r="F42" s="3">
        <v>18389</v>
      </c>
      <c r="G42" s="3">
        <v>670</v>
      </c>
      <c r="H42" s="3">
        <v>655</v>
      </c>
      <c r="I42" s="3">
        <v>321</v>
      </c>
      <c r="J42" s="3">
        <v>21869</v>
      </c>
      <c r="K42" s="3">
        <v>96088</v>
      </c>
      <c r="L42" s="1" t="s">
        <v>26</v>
      </c>
      <c r="M42" s="41">
        <f>(F42+G42+H42)/Table23[[#This Row],[Impressions]]</f>
        <v>0.2051660977437349</v>
      </c>
    </row>
    <row r="43" spans="1:13" ht="17.399999999999999" customHeight="1" thickBot="1" x14ac:dyDescent="0.35">
      <c r="A43" s="1" t="s">
        <v>66</v>
      </c>
      <c r="B43" s="1" t="s">
        <v>13</v>
      </c>
      <c r="C43" s="2">
        <v>45593</v>
      </c>
      <c r="D43" s="1" t="s">
        <v>17</v>
      </c>
      <c r="E43" s="1" t="s">
        <v>23</v>
      </c>
      <c r="F43" s="3">
        <v>21198</v>
      </c>
      <c r="G43" s="3">
        <v>1484</v>
      </c>
      <c r="H43" s="3">
        <v>174</v>
      </c>
      <c r="I43" s="3">
        <v>1293</v>
      </c>
      <c r="J43" s="3">
        <v>16330</v>
      </c>
      <c r="K43" s="3">
        <v>111635</v>
      </c>
      <c r="L43" s="1" t="s">
        <v>9</v>
      </c>
      <c r="M43" s="41">
        <f>(F43+G43+H43)/Table23[[#This Row],[Impressions]]</f>
        <v>0.20473865723115511</v>
      </c>
    </row>
    <row r="44" spans="1:13" ht="17.399999999999999" customHeight="1" thickBot="1" x14ac:dyDescent="0.35">
      <c r="A44" s="1" t="s">
        <v>67</v>
      </c>
      <c r="B44" s="1" t="s">
        <v>6</v>
      </c>
      <c r="C44" s="2">
        <v>45721</v>
      </c>
      <c r="D44" s="1" t="s">
        <v>17</v>
      </c>
      <c r="E44" s="1" t="s">
        <v>15</v>
      </c>
      <c r="F44" s="3">
        <v>12916</v>
      </c>
      <c r="G44" s="3">
        <v>1262</v>
      </c>
      <c r="H44" s="3">
        <v>772</v>
      </c>
      <c r="I44" s="3">
        <v>856</v>
      </c>
      <c r="J44" s="3">
        <v>11496</v>
      </c>
      <c r="K44" s="3">
        <v>75046</v>
      </c>
      <c r="L44" s="1" t="s">
        <v>20</v>
      </c>
      <c r="M44" s="41">
        <f>(F44+G44+H44)/Table23[[#This Row],[Impressions]]</f>
        <v>0.19921115049436347</v>
      </c>
    </row>
    <row r="45" spans="1:13" ht="17.399999999999999" customHeight="1" thickBot="1" x14ac:dyDescent="0.35">
      <c r="A45" s="1" t="s">
        <v>68</v>
      </c>
      <c r="B45" s="1" t="s">
        <v>13</v>
      </c>
      <c r="C45" s="2">
        <v>45576</v>
      </c>
      <c r="D45" s="1" t="s">
        <v>17</v>
      </c>
      <c r="E45" s="1" t="s">
        <v>58</v>
      </c>
      <c r="F45" s="3">
        <v>19447</v>
      </c>
      <c r="G45" s="3">
        <v>1014</v>
      </c>
      <c r="H45" s="3">
        <v>256</v>
      </c>
      <c r="I45" s="3">
        <v>2354</v>
      </c>
      <c r="J45" s="3">
        <v>5472</v>
      </c>
      <c r="K45" s="3">
        <v>104106</v>
      </c>
      <c r="L45" s="1" t="s">
        <v>4</v>
      </c>
      <c r="M45" s="41">
        <f>(F45+G45+H45)/Table23[[#This Row],[Impressions]]</f>
        <v>0.19899909707413599</v>
      </c>
    </row>
    <row r="46" spans="1:13" ht="17.399999999999999" customHeight="1" thickBot="1" x14ac:dyDescent="0.35">
      <c r="A46" s="1" t="s">
        <v>69</v>
      </c>
      <c r="B46" s="1" t="s">
        <v>6</v>
      </c>
      <c r="C46" s="2">
        <v>45700</v>
      </c>
      <c r="D46" s="1" t="s">
        <v>2</v>
      </c>
      <c r="E46" s="1" t="s">
        <v>29</v>
      </c>
      <c r="F46" s="3">
        <v>15234</v>
      </c>
      <c r="G46" s="3">
        <v>1276</v>
      </c>
      <c r="H46" s="3">
        <v>670</v>
      </c>
      <c r="I46" s="3">
        <v>1860</v>
      </c>
      <c r="J46" s="3">
        <v>60397</v>
      </c>
      <c r="K46" s="3">
        <v>86413</v>
      </c>
      <c r="L46" s="1" t="s">
        <v>18</v>
      </c>
      <c r="M46" s="41">
        <f>(F46+G46+H46)/Table23[[#This Row],[Impressions]]</f>
        <v>0.19881267864788862</v>
      </c>
    </row>
    <row r="47" spans="1:13" ht="17.399999999999999" customHeight="1" thickBot="1" x14ac:dyDescent="0.35">
      <c r="A47" s="1" t="s">
        <v>70</v>
      </c>
      <c r="B47" s="1" t="s">
        <v>13</v>
      </c>
      <c r="C47" s="2">
        <v>45637</v>
      </c>
      <c r="D47" s="1" t="s">
        <v>17</v>
      </c>
      <c r="E47" s="1" t="s">
        <v>58</v>
      </c>
      <c r="F47" s="3">
        <v>22645</v>
      </c>
      <c r="G47" s="3">
        <v>545</v>
      </c>
      <c r="H47" s="3">
        <v>972</v>
      </c>
      <c r="I47" s="3">
        <v>321</v>
      </c>
      <c r="J47" s="3">
        <v>8396</v>
      </c>
      <c r="K47" s="3">
        <v>121537</v>
      </c>
      <c r="L47" s="1" t="s">
        <v>18</v>
      </c>
      <c r="M47" s="41">
        <f>(F47+G47+H47)/Table23[[#This Row],[Impressions]]</f>
        <v>0.19880365649966678</v>
      </c>
    </row>
    <row r="48" spans="1:13" ht="17.399999999999999" customHeight="1" thickBot="1" x14ac:dyDescent="0.35">
      <c r="A48" s="1" t="s">
        <v>71</v>
      </c>
      <c r="B48" s="1" t="s">
        <v>1</v>
      </c>
      <c r="C48" s="2">
        <v>45755</v>
      </c>
      <c r="D48" s="1" t="s">
        <v>2</v>
      </c>
      <c r="E48" s="1" t="s">
        <v>11</v>
      </c>
      <c r="F48" s="3">
        <v>15568</v>
      </c>
      <c r="G48" s="3">
        <v>1166</v>
      </c>
      <c r="H48" s="3">
        <v>546</v>
      </c>
      <c r="I48" s="3">
        <v>826</v>
      </c>
      <c r="J48" s="3">
        <v>21836</v>
      </c>
      <c r="K48" s="3">
        <v>87055</v>
      </c>
      <c r="L48" s="1" t="s">
        <v>4</v>
      </c>
      <c r="M48" s="41">
        <f>(F48+G48+H48)/Table23[[#This Row],[Impressions]]</f>
        <v>0.19849520418126471</v>
      </c>
    </row>
    <row r="49" spans="1:13" ht="17.399999999999999" customHeight="1" thickBot="1" x14ac:dyDescent="0.35">
      <c r="A49" s="1" t="s">
        <v>72</v>
      </c>
      <c r="B49" s="1" t="s">
        <v>1</v>
      </c>
      <c r="C49" s="5">
        <v>45926</v>
      </c>
      <c r="D49" s="1" t="s">
        <v>2</v>
      </c>
      <c r="E49" s="1" t="s">
        <v>58</v>
      </c>
      <c r="F49" s="3">
        <v>21216</v>
      </c>
      <c r="G49" s="3">
        <v>226</v>
      </c>
      <c r="H49" s="3">
        <v>187</v>
      </c>
      <c r="I49" s="3">
        <v>1573</v>
      </c>
      <c r="J49" s="3">
        <v>62688</v>
      </c>
      <c r="K49" s="3">
        <v>111031</v>
      </c>
      <c r="L49" s="1" t="s">
        <v>26</v>
      </c>
      <c r="M49" s="41">
        <f>(F49+G49+H49)/Table23[[#This Row],[Impressions]]</f>
        <v>0.19480145184678152</v>
      </c>
    </row>
    <row r="50" spans="1:13" ht="17.399999999999999" customHeight="1" thickBot="1" x14ac:dyDescent="0.35">
      <c r="A50" s="1" t="s">
        <v>73</v>
      </c>
      <c r="B50" s="1" t="s">
        <v>22</v>
      </c>
      <c r="C50" s="2">
        <v>45634</v>
      </c>
      <c r="D50" s="1" t="s">
        <v>2</v>
      </c>
      <c r="E50" s="1" t="s">
        <v>29</v>
      </c>
      <c r="F50" s="3">
        <v>10427</v>
      </c>
      <c r="G50" s="3">
        <v>1014</v>
      </c>
      <c r="H50" s="3">
        <v>166</v>
      </c>
      <c r="I50" s="3">
        <v>1649</v>
      </c>
      <c r="J50" s="3">
        <v>15145</v>
      </c>
      <c r="K50" s="3">
        <v>59816</v>
      </c>
      <c r="L50" s="1" t="s">
        <v>20</v>
      </c>
      <c r="M50" s="41">
        <f>(F50+G50+H50)/Table23[[#This Row],[Impressions]]</f>
        <v>0.19404507155276179</v>
      </c>
    </row>
    <row r="51" spans="1:13" ht="17.399999999999999" customHeight="1" thickBot="1" x14ac:dyDescent="0.35">
      <c r="A51" s="1" t="s">
        <v>74</v>
      </c>
      <c r="B51" s="1" t="s">
        <v>1</v>
      </c>
      <c r="C51" s="2">
        <v>45744</v>
      </c>
      <c r="D51" s="1" t="s">
        <v>14</v>
      </c>
      <c r="E51" s="1" t="s">
        <v>25</v>
      </c>
      <c r="F51" s="3">
        <v>13637</v>
      </c>
      <c r="G51" s="3">
        <v>1135</v>
      </c>
      <c r="H51" s="3">
        <v>540</v>
      </c>
      <c r="I51" s="3">
        <v>1288</v>
      </c>
      <c r="J51" s="3">
        <v>45183</v>
      </c>
      <c r="K51" s="3">
        <v>79062</v>
      </c>
      <c r="L51" s="1" t="s">
        <v>18</v>
      </c>
      <c r="M51" s="41">
        <f>(F51+G51+H51)/Table23[[#This Row],[Impressions]]</f>
        <v>0.19367079001290127</v>
      </c>
    </row>
    <row r="52" spans="1:13" ht="17.399999999999999" customHeight="1" thickBot="1" x14ac:dyDescent="0.35">
      <c r="A52" s="1" t="s">
        <v>75</v>
      </c>
      <c r="B52" s="1" t="s">
        <v>1</v>
      </c>
      <c r="C52" s="2">
        <v>45494</v>
      </c>
      <c r="D52" s="1" t="s">
        <v>14</v>
      </c>
      <c r="E52" s="1" t="s">
        <v>23</v>
      </c>
      <c r="F52" s="3">
        <v>11911</v>
      </c>
      <c r="G52" s="3">
        <v>1360</v>
      </c>
      <c r="H52" s="3">
        <v>778</v>
      </c>
      <c r="I52" s="3">
        <v>1168</v>
      </c>
      <c r="J52" s="3">
        <v>16483</v>
      </c>
      <c r="K52" s="3">
        <v>72556</v>
      </c>
      <c r="L52" s="1" t="s">
        <v>20</v>
      </c>
      <c r="M52" s="41">
        <f>(F52+G52+H52)/Table23[[#This Row],[Impressions]]</f>
        <v>0.19362974805667346</v>
      </c>
    </row>
    <row r="53" spans="1:13" ht="17.399999999999999" customHeight="1" thickBot="1" x14ac:dyDescent="0.35">
      <c r="A53" s="1" t="s">
        <v>76</v>
      </c>
      <c r="B53" s="1" t="s">
        <v>13</v>
      </c>
      <c r="C53" s="2">
        <v>45517</v>
      </c>
      <c r="D53" s="1" t="s">
        <v>17</v>
      </c>
      <c r="E53" s="1" t="s">
        <v>60</v>
      </c>
      <c r="F53" s="3">
        <v>6854</v>
      </c>
      <c r="G53" s="3">
        <v>417</v>
      </c>
      <c r="H53" s="3">
        <v>467</v>
      </c>
      <c r="I53" s="3">
        <v>1003</v>
      </c>
      <c r="J53" s="3">
        <v>61333</v>
      </c>
      <c r="K53" s="3">
        <v>40281</v>
      </c>
      <c r="L53" s="1" t="s">
        <v>4</v>
      </c>
      <c r="M53" s="41">
        <f>(F53+G53+H53)/Table23[[#This Row],[Impressions]]</f>
        <v>0.19210049402944315</v>
      </c>
    </row>
    <row r="54" spans="1:13" ht="17.399999999999999" customHeight="1" thickBot="1" x14ac:dyDescent="0.35">
      <c r="A54" s="1" t="s">
        <v>77</v>
      </c>
      <c r="B54" s="1" t="s">
        <v>1</v>
      </c>
      <c r="C54" s="2">
        <v>45712</v>
      </c>
      <c r="D54" s="1" t="s">
        <v>7</v>
      </c>
      <c r="E54" s="1" t="s">
        <v>58</v>
      </c>
      <c r="F54" s="3">
        <v>24984</v>
      </c>
      <c r="G54" s="3">
        <v>753</v>
      </c>
      <c r="H54" s="3">
        <v>461</v>
      </c>
      <c r="I54" s="3">
        <v>2710</v>
      </c>
      <c r="J54" s="3">
        <v>20792</v>
      </c>
      <c r="K54" s="3">
        <v>141520</v>
      </c>
      <c r="L54" s="1" t="s">
        <v>20</v>
      </c>
      <c r="M54" s="41">
        <f>(F54+G54+H54)/Table23[[#This Row],[Impressions]]</f>
        <v>0.18511871113623515</v>
      </c>
    </row>
    <row r="55" spans="1:13" ht="17.399999999999999" customHeight="1" thickBot="1" x14ac:dyDescent="0.35">
      <c r="A55" s="1" t="s">
        <v>78</v>
      </c>
      <c r="B55" s="1" t="s">
        <v>6</v>
      </c>
      <c r="C55" s="5">
        <v>45934</v>
      </c>
      <c r="D55" s="1" t="s">
        <v>2</v>
      </c>
      <c r="E55" s="1" t="s">
        <v>60</v>
      </c>
      <c r="F55" s="3">
        <v>12488</v>
      </c>
      <c r="G55" s="3">
        <v>1403</v>
      </c>
      <c r="H55" s="3">
        <v>247</v>
      </c>
      <c r="I55" s="3">
        <v>1350</v>
      </c>
      <c r="J55" s="3">
        <v>28370</v>
      </c>
      <c r="K55" s="3">
        <v>76487</v>
      </c>
      <c r="L55" s="1" t="s">
        <v>26</v>
      </c>
      <c r="M55" s="41">
        <f>(F55+G55+H55)/Table23[[#This Row],[Impressions]]</f>
        <v>0.18484186855282597</v>
      </c>
    </row>
    <row r="56" spans="1:13" ht="17.399999999999999" customHeight="1" thickBot="1" x14ac:dyDescent="0.35">
      <c r="A56" s="1" t="s">
        <v>79</v>
      </c>
      <c r="B56" s="1" t="s">
        <v>22</v>
      </c>
      <c r="C56" s="2">
        <v>45488</v>
      </c>
      <c r="D56" s="1" t="s">
        <v>2</v>
      </c>
      <c r="E56" s="1" t="s">
        <v>8</v>
      </c>
      <c r="F56" s="3">
        <v>12554</v>
      </c>
      <c r="G56" s="3">
        <v>381</v>
      </c>
      <c r="H56" s="3">
        <v>211</v>
      </c>
      <c r="I56" s="3">
        <v>2286</v>
      </c>
      <c r="J56" s="3">
        <v>50567</v>
      </c>
      <c r="K56" s="3">
        <v>72779</v>
      </c>
      <c r="L56" s="1" t="s">
        <v>4</v>
      </c>
      <c r="M56" s="41">
        <f>(F56+G56+H56)/Table23[[#This Row],[Impressions]]</f>
        <v>0.18062902760411656</v>
      </c>
    </row>
    <row r="57" spans="1:13" ht="17.399999999999999" customHeight="1" thickBot="1" x14ac:dyDescent="0.35">
      <c r="A57" s="1" t="s">
        <v>80</v>
      </c>
      <c r="B57" s="1" t="s">
        <v>6</v>
      </c>
      <c r="C57" s="2">
        <v>45762</v>
      </c>
      <c r="D57" s="1" t="s">
        <v>2</v>
      </c>
      <c r="E57" s="1" t="s">
        <v>58</v>
      </c>
      <c r="F57" s="3">
        <v>20977</v>
      </c>
      <c r="G57" s="3">
        <v>1402</v>
      </c>
      <c r="H57" s="3">
        <v>301</v>
      </c>
      <c r="I57" s="3">
        <v>1284</v>
      </c>
      <c r="J57" s="3">
        <v>24620</v>
      </c>
      <c r="K57" s="3">
        <v>128009</v>
      </c>
      <c r="L57" s="1" t="s">
        <v>4</v>
      </c>
      <c r="M57" s="41">
        <f>(F57+G57+H57)/Table23[[#This Row],[Impressions]]</f>
        <v>0.17717504237983267</v>
      </c>
    </row>
    <row r="58" spans="1:13" ht="17.399999999999999" customHeight="1" thickBot="1" x14ac:dyDescent="0.35">
      <c r="A58" s="1" t="s">
        <v>81</v>
      </c>
      <c r="B58" s="1" t="s">
        <v>6</v>
      </c>
      <c r="C58" s="2">
        <v>45594</v>
      </c>
      <c r="D58" s="1" t="s">
        <v>7</v>
      </c>
      <c r="E58" s="1" t="s">
        <v>15</v>
      </c>
      <c r="F58" s="3">
        <v>23969</v>
      </c>
      <c r="G58" s="3">
        <v>1433</v>
      </c>
      <c r="H58" s="3">
        <v>372</v>
      </c>
      <c r="I58" s="3">
        <v>1092</v>
      </c>
      <c r="J58" s="3">
        <v>32147</v>
      </c>
      <c r="K58" s="3">
        <v>145823</v>
      </c>
      <c r="L58" s="1" t="s">
        <v>20</v>
      </c>
      <c r="M58" s="41">
        <f>(F58+G58+H58)/Table23[[#This Row],[Impressions]]</f>
        <v>0.17674852389540743</v>
      </c>
    </row>
    <row r="59" spans="1:13" ht="17.399999999999999" customHeight="1" thickBot="1" x14ac:dyDescent="0.35">
      <c r="A59" s="1" t="s">
        <v>82</v>
      </c>
      <c r="B59" s="1" t="s">
        <v>13</v>
      </c>
      <c r="C59" s="2">
        <v>45602</v>
      </c>
      <c r="D59" s="1" t="s">
        <v>17</v>
      </c>
      <c r="E59" s="1" t="s">
        <v>15</v>
      </c>
      <c r="F59" s="3">
        <v>8938</v>
      </c>
      <c r="G59" s="3">
        <v>800</v>
      </c>
      <c r="H59" s="3">
        <v>842</v>
      </c>
      <c r="I59" s="3">
        <v>2072</v>
      </c>
      <c r="J59" s="3">
        <v>31736</v>
      </c>
      <c r="K59" s="3">
        <v>59975</v>
      </c>
      <c r="L59" s="1" t="s">
        <v>9</v>
      </c>
      <c r="M59" s="41">
        <f>(F59+G59+H59)/Table23[[#This Row],[Impressions]]</f>
        <v>0.17640683618174238</v>
      </c>
    </row>
    <row r="60" spans="1:13" ht="17.399999999999999" customHeight="1" thickBot="1" x14ac:dyDescent="0.35">
      <c r="A60" s="1" t="s">
        <v>83</v>
      </c>
      <c r="B60" s="1" t="s">
        <v>22</v>
      </c>
      <c r="C60" s="2">
        <v>45543</v>
      </c>
      <c r="D60" s="1" t="s">
        <v>17</v>
      </c>
      <c r="E60" s="1" t="s">
        <v>11</v>
      </c>
      <c r="F60" s="3">
        <v>8090</v>
      </c>
      <c r="G60" s="3">
        <v>570</v>
      </c>
      <c r="H60" s="3">
        <v>399</v>
      </c>
      <c r="I60" s="3">
        <v>1862</v>
      </c>
      <c r="J60" s="3">
        <v>34088</v>
      </c>
      <c r="K60" s="3">
        <v>52115</v>
      </c>
      <c r="L60" s="1" t="s">
        <v>4</v>
      </c>
      <c r="M60" s="41">
        <f>(F60+G60+H60)/Table23[[#This Row],[Impressions]]</f>
        <v>0.17382711311522595</v>
      </c>
    </row>
    <row r="61" spans="1:13" ht="17.399999999999999" customHeight="1" thickBot="1" x14ac:dyDescent="0.35">
      <c r="A61" s="1" t="s">
        <v>84</v>
      </c>
      <c r="B61" s="1" t="s">
        <v>1</v>
      </c>
      <c r="C61" s="5">
        <v>45924</v>
      </c>
      <c r="D61" s="1" t="s">
        <v>7</v>
      </c>
      <c r="E61" s="1" t="s">
        <v>3</v>
      </c>
      <c r="F61" s="3">
        <v>12209</v>
      </c>
      <c r="G61" s="3">
        <v>222</v>
      </c>
      <c r="H61" s="3">
        <v>479</v>
      </c>
      <c r="I61" s="3">
        <v>2748</v>
      </c>
      <c r="J61" s="3">
        <v>24615</v>
      </c>
      <c r="K61" s="3">
        <v>74707</v>
      </c>
      <c r="L61" s="1" t="s">
        <v>26</v>
      </c>
      <c r="M61" s="41">
        <f>(F61+G61+H61)/Table23[[#This Row],[Impressions]]</f>
        <v>0.17280843829895459</v>
      </c>
    </row>
    <row r="62" spans="1:13" ht="17.399999999999999" customHeight="1" thickBot="1" x14ac:dyDescent="0.35">
      <c r="A62" s="1" t="s">
        <v>85</v>
      </c>
      <c r="B62" s="1" t="s">
        <v>1</v>
      </c>
      <c r="C62" s="2">
        <v>45718</v>
      </c>
      <c r="D62" s="1" t="s">
        <v>2</v>
      </c>
      <c r="E62" s="1" t="s">
        <v>45</v>
      </c>
      <c r="F62" s="3">
        <v>22562</v>
      </c>
      <c r="G62" s="3">
        <v>778</v>
      </c>
      <c r="H62" s="3">
        <v>907</v>
      </c>
      <c r="I62" s="3">
        <v>1354</v>
      </c>
      <c r="J62" s="3">
        <v>34475</v>
      </c>
      <c r="K62" s="3">
        <v>141459</v>
      </c>
      <c r="L62" s="1" t="s">
        <v>9</v>
      </c>
      <c r="M62" s="41">
        <f>(F62+G62+H62)/Table23[[#This Row],[Impressions]]</f>
        <v>0.17140655596321194</v>
      </c>
    </row>
    <row r="63" spans="1:13" ht="17.399999999999999" customHeight="1" thickBot="1" x14ac:dyDescent="0.35">
      <c r="A63" s="1" t="s">
        <v>86</v>
      </c>
      <c r="B63" s="1" t="s">
        <v>1</v>
      </c>
      <c r="C63" s="2">
        <v>45450</v>
      </c>
      <c r="D63" s="1" t="s">
        <v>2</v>
      </c>
      <c r="E63" s="1" t="s">
        <v>23</v>
      </c>
      <c r="F63" s="3">
        <v>8233</v>
      </c>
      <c r="G63" s="3">
        <v>436</v>
      </c>
      <c r="H63" s="3">
        <v>269</v>
      </c>
      <c r="I63" s="3">
        <v>2037</v>
      </c>
      <c r="J63" s="3">
        <v>8875</v>
      </c>
      <c r="K63" s="3">
        <v>52289</v>
      </c>
      <c r="L63" s="1" t="s">
        <v>4</v>
      </c>
      <c r="M63" s="41">
        <f>(F63+G63+H63)/Table23[[#This Row],[Impressions]]</f>
        <v>0.17093461339861157</v>
      </c>
    </row>
    <row r="64" spans="1:13" ht="17.399999999999999" customHeight="1" thickBot="1" x14ac:dyDescent="0.35">
      <c r="A64" s="1" t="s">
        <v>87</v>
      </c>
      <c r="B64" s="1" t="s">
        <v>1</v>
      </c>
      <c r="C64" s="2">
        <v>45528</v>
      </c>
      <c r="D64" s="1" t="s">
        <v>7</v>
      </c>
      <c r="E64" s="1" t="s">
        <v>45</v>
      </c>
      <c r="F64" s="3">
        <v>22527</v>
      </c>
      <c r="G64" s="3">
        <v>865</v>
      </c>
      <c r="H64" s="3">
        <v>646</v>
      </c>
      <c r="I64" s="3">
        <v>992</v>
      </c>
      <c r="J64" s="3">
        <v>18654</v>
      </c>
      <c r="K64" s="3">
        <v>141376</v>
      </c>
      <c r="L64" s="1" t="s">
        <v>18</v>
      </c>
      <c r="M64" s="41">
        <f>(F64+G64+H64)/Table23[[#This Row],[Impressions]]</f>
        <v>0.17002885921231325</v>
      </c>
    </row>
    <row r="65" spans="1:13" ht="17.399999999999999" customHeight="1" thickBot="1" x14ac:dyDescent="0.35">
      <c r="A65" s="1" t="s">
        <v>88</v>
      </c>
      <c r="B65" s="1" t="s">
        <v>13</v>
      </c>
      <c r="C65" s="2">
        <v>45515</v>
      </c>
      <c r="D65" s="1" t="s">
        <v>17</v>
      </c>
      <c r="E65" s="1" t="s">
        <v>29</v>
      </c>
      <c r="F65" s="3">
        <v>14394</v>
      </c>
      <c r="G65" s="3">
        <v>1202</v>
      </c>
      <c r="H65" s="3">
        <v>188</v>
      </c>
      <c r="I65" s="3">
        <v>1259</v>
      </c>
      <c r="J65" s="3">
        <v>21925</v>
      </c>
      <c r="K65" s="3">
        <v>94061</v>
      </c>
      <c r="L65" s="1" t="s">
        <v>9</v>
      </c>
      <c r="M65" s="41">
        <f>(F65+G65+H65)/Table23[[#This Row],[Impressions]]</f>
        <v>0.1678059982351878</v>
      </c>
    </row>
    <row r="66" spans="1:13" ht="17.399999999999999" customHeight="1" thickBot="1" x14ac:dyDescent="0.35">
      <c r="A66" s="1" t="s">
        <v>89</v>
      </c>
      <c r="B66" s="1" t="s">
        <v>1</v>
      </c>
      <c r="C66" s="5">
        <v>45921</v>
      </c>
      <c r="D66" s="1" t="s">
        <v>14</v>
      </c>
      <c r="E66" s="1" t="s">
        <v>60</v>
      </c>
      <c r="F66" s="3">
        <v>19680</v>
      </c>
      <c r="G66" s="3">
        <v>999</v>
      </c>
      <c r="H66" s="3">
        <v>838</v>
      </c>
      <c r="I66" s="3">
        <v>891</v>
      </c>
      <c r="J66" s="3">
        <v>29576</v>
      </c>
      <c r="K66" s="3">
        <v>129152</v>
      </c>
      <c r="L66" s="1" t="s">
        <v>26</v>
      </c>
      <c r="M66" s="41">
        <f>(F66+G66+H66)/Table23[[#This Row],[Impressions]]</f>
        <v>0.16660214321110009</v>
      </c>
    </row>
    <row r="67" spans="1:13" ht="17.399999999999999" customHeight="1" thickBot="1" x14ac:dyDescent="0.35">
      <c r="A67" s="1" t="s">
        <v>90</v>
      </c>
      <c r="B67" s="1" t="s">
        <v>22</v>
      </c>
      <c r="C67" s="5">
        <v>45921</v>
      </c>
      <c r="D67" s="1" t="s">
        <v>2</v>
      </c>
      <c r="E67" s="1" t="s">
        <v>11</v>
      </c>
      <c r="F67" s="3">
        <v>23103</v>
      </c>
      <c r="G67" s="3">
        <v>1380</v>
      </c>
      <c r="H67" s="3">
        <v>191</v>
      </c>
      <c r="I67" s="3">
        <v>1547</v>
      </c>
      <c r="J67" s="3">
        <v>77798</v>
      </c>
      <c r="K67" s="3">
        <v>148856</v>
      </c>
      <c r="L67" s="1" t="s">
        <v>26</v>
      </c>
      <c r="M67" s="41">
        <f>(F67+G67+H67)/Table23[[#This Row],[Impressions]]</f>
        <v>0.16575751061428495</v>
      </c>
    </row>
    <row r="68" spans="1:13" ht="17.399999999999999" customHeight="1" thickBot="1" x14ac:dyDescent="0.35">
      <c r="A68" s="1" t="s">
        <v>91</v>
      </c>
      <c r="B68" s="1" t="s">
        <v>6</v>
      </c>
      <c r="C68" s="2">
        <v>45739</v>
      </c>
      <c r="D68" s="1" t="s">
        <v>17</v>
      </c>
      <c r="E68" s="1" t="s">
        <v>3</v>
      </c>
      <c r="F68" s="3">
        <v>17728</v>
      </c>
      <c r="G68" s="3">
        <v>1487</v>
      </c>
      <c r="H68" s="3">
        <v>210</v>
      </c>
      <c r="I68" s="3">
        <v>2469</v>
      </c>
      <c r="J68" s="3">
        <v>30565</v>
      </c>
      <c r="K68" s="3">
        <v>117576</v>
      </c>
      <c r="L68" s="1" t="s">
        <v>4</v>
      </c>
      <c r="M68" s="41">
        <f>(F68+G68+H68)/Table23[[#This Row],[Impressions]]</f>
        <v>0.16521228822208614</v>
      </c>
    </row>
    <row r="69" spans="1:13" ht="17.399999999999999" customHeight="1" thickBot="1" x14ac:dyDescent="0.35">
      <c r="A69" s="1" t="s">
        <v>92</v>
      </c>
      <c r="B69" s="1" t="s">
        <v>13</v>
      </c>
      <c r="C69" s="2">
        <v>45491</v>
      </c>
      <c r="D69" s="1" t="s">
        <v>2</v>
      </c>
      <c r="E69" s="1" t="s">
        <v>11</v>
      </c>
      <c r="F69" s="3">
        <v>16594</v>
      </c>
      <c r="G69" s="3">
        <v>809</v>
      </c>
      <c r="H69" s="3">
        <v>784</v>
      </c>
      <c r="I69" s="3">
        <v>1655</v>
      </c>
      <c r="J69" s="3">
        <v>35505</v>
      </c>
      <c r="K69" s="3">
        <v>112588</v>
      </c>
      <c r="L69" s="1" t="s">
        <v>20</v>
      </c>
      <c r="M69" s="41">
        <f>(F69+G69+H69)/Table23[[#This Row],[Impressions]]</f>
        <v>0.16153586527871533</v>
      </c>
    </row>
    <row r="70" spans="1:13" ht="17.399999999999999" customHeight="1" thickBot="1" x14ac:dyDescent="0.35">
      <c r="A70" s="1" t="s">
        <v>93</v>
      </c>
      <c r="B70" s="1" t="s">
        <v>6</v>
      </c>
      <c r="C70" s="5">
        <v>45920</v>
      </c>
      <c r="D70" s="1" t="s">
        <v>14</v>
      </c>
      <c r="E70" s="1" t="s">
        <v>15</v>
      </c>
      <c r="F70" s="3">
        <v>18633</v>
      </c>
      <c r="G70" s="3">
        <v>797</v>
      </c>
      <c r="H70" s="3">
        <v>303</v>
      </c>
      <c r="I70" s="3">
        <v>659</v>
      </c>
      <c r="J70" s="3">
        <v>7</v>
      </c>
      <c r="K70" s="3">
        <v>122189</v>
      </c>
      <c r="L70" s="1" t="s">
        <v>26</v>
      </c>
      <c r="M70" s="41">
        <f>(F70+G70+H70)/Table23[[#This Row],[Impressions]]</f>
        <v>0.16149571565361859</v>
      </c>
    </row>
    <row r="71" spans="1:13" ht="17.399999999999999" customHeight="1" thickBot="1" x14ac:dyDescent="0.35">
      <c r="A71" s="1" t="s">
        <v>94</v>
      </c>
      <c r="B71" s="1" t="s">
        <v>22</v>
      </c>
      <c r="C71" s="2">
        <v>45505</v>
      </c>
      <c r="D71" s="1" t="s">
        <v>14</v>
      </c>
      <c r="E71" s="1" t="s">
        <v>34</v>
      </c>
      <c r="F71" s="3">
        <v>21758</v>
      </c>
      <c r="G71" s="3">
        <v>1380</v>
      </c>
      <c r="H71" s="3">
        <v>188</v>
      </c>
      <c r="I71" s="3">
        <v>1735</v>
      </c>
      <c r="J71" s="3">
        <v>20998</v>
      </c>
      <c r="K71" s="3">
        <v>147803</v>
      </c>
      <c r="L71" s="1" t="s">
        <v>18</v>
      </c>
      <c r="M71" s="41">
        <f>(F71+G71+H71)/Table23[[#This Row],[Impressions]]</f>
        <v>0.15781817689762725</v>
      </c>
    </row>
    <row r="72" spans="1:13" ht="17.399999999999999" customHeight="1" thickBot="1" x14ac:dyDescent="0.35">
      <c r="A72" s="1" t="s">
        <v>95</v>
      </c>
      <c r="B72" s="1" t="s">
        <v>6</v>
      </c>
      <c r="C72" s="2">
        <v>45740</v>
      </c>
      <c r="D72" s="1" t="s">
        <v>14</v>
      </c>
      <c r="E72" s="1" t="s">
        <v>8</v>
      </c>
      <c r="F72" s="3">
        <v>10172</v>
      </c>
      <c r="G72" s="3">
        <v>1398</v>
      </c>
      <c r="H72" s="3">
        <v>394</v>
      </c>
      <c r="I72" s="3">
        <v>2358</v>
      </c>
      <c r="J72" s="3">
        <v>59610</v>
      </c>
      <c r="K72" s="3">
        <v>76321</v>
      </c>
      <c r="L72" s="1" t="s">
        <v>9</v>
      </c>
      <c r="M72" s="41">
        <f>(F72+G72+H72)/Table23[[#This Row],[Impressions]]</f>
        <v>0.15675895231980713</v>
      </c>
    </row>
    <row r="73" spans="1:13" ht="17.399999999999999" customHeight="1" thickBot="1" x14ac:dyDescent="0.35">
      <c r="A73" s="1" t="s">
        <v>96</v>
      </c>
      <c r="B73" s="1" t="s">
        <v>13</v>
      </c>
      <c r="C73" s="2">
        <v>45476</v>
      </c>
      <c r="D73" s="1" t="s">
        <v>7</v>
      </c>
      <c r="E73" s="1" t="s">
        <v>3</v>
      </c>
      <c r="F73" s="3">
        <v>14338</v>
      </c>
      <c r="G73" s="3">
        <v>1454</v>
      </c>
      <c r="H73" s="3">
        <v>697</v>
      </c>
      <c r="I73" s="3">
        <v>2703</v>
      </c>
      <c r="J73" s="3">
        <v>21288</v>
      </c>
      <c r="K73" s="3">
        <v>107649</v>
      </c>
      <c r="L73" s="1" t="s">
        <v>9</v>
      </c>
      <c r="M73" s="41">
        <f>(F73+G73+H73)/Table23[[#This Row],[Impressions]]</f>
        <v>0.1531737405828201</v>
      </c>
    </row>
    <row r="74" spans="1:13" ht="17.399999999999999" customHeight="1" thickBot="1" x14ac:dyDescent="0.35">
      <c r="A74" s="1" t="s">
        <v>97</v>
      </c>
      <c r="B74" s="1" t="s">
        <v>22</v>
      </c>
      <c r="C74" s="2">
        <v>45720</v>
      </c>
      <c r="D74" s="1" t="s">
        <v>2</v>
      </c>
      <c r="E74" s="1" t="s">
        <v>29</v>
      </c>
      <c r="F74" s="3">
        <v>5266</v>
      </c>
      <c r="G74" s="3">
        <v>316</v>
      </c>
      <c r="H74" s="3">
        <v>837</v>
      </c>
      <c r="I74" s="3">
        <v>2276</v>
      </c>
      <c r="J74" s="3">
        <v>20967</v>
      </c>
      <c r="K74" s="3">
        <v>41969</v>
      </c>
      <c r="L74" s="1" t="s">
        <v>18</v>
      </c>
      <c r="M74" s="41">
        <f>(F74+G74+H74)/Table23[[#This Row],[Impressions]]</f>
        <v>0.1529462222116324</v>
      </c>
    </row>
    <row r="75" spans="1:13" ht="17.399999999999999" customHeight="1" thickBot="1" x14ac:dyDescent="0.35">
      <c r="A75" s="1" t="s">
        <v>98</v>
      </c>
      <c r="B75" s="1" t="s">
        <v>6</v>
      </c>
      <c r="C75" s="5">
        <v>45914</v>
      </c>
      <c r="D75" s="1" t="s">
        <v>17</v>
      </c>
      <c r="E75" s="1" t="s">
        <v>25</v>
      </c>
      <c r="F75" s="3">
        <v>19844</v>
      </c>
      <c r="G75" s="3">
        <v>1020</v>
      </c>
      <c r="H75" s="3">
        <v>247</v>
      </c>
      <c r="I75" s="3">
        <v>2354</v>
      </c>
      <c r="J75" s="3">
        <v>37792</v>
      </c>
      <c r="K75" s="3">
        <v>138317</v>
      </c>
      <c r="L75" s="1" t="s">
        <v>26</v>
      </c>
      <c r="M75" s="41">
        <f>(F75+G75+H75)/Table23[[#This Row],[Impressions]]</f>
        <v>0.15262765965138053</v>
      </c>
    </row>
    <row r="76" spans="1:13" ht="17.399999999999999" customHeight="1" thickBot="1" x14ac:dyDescent="0.35">
      <c r="A76" s="1" t="s">
        <v>99</v>
      </c>
      <c r="B76" s="1" t="s">
        <v>1</v>
      </c>
      <c r="C76" s="2">
        <v>45720</v>
      </c>
      <c r="D76" s="1" t="s">
        <v>17</v>
      </c>
      <c r="E76" s="1" t="s">
        <v>58</v>
      </c>
      <c r="F76" s="3">
        <v>13470</v>
      </c>
      <c r="G76" s="3">
        <v>523</v>
      </c>
      <c r="H76" s="3">
        <v>280</v>
      </c>
      <c r="I76" s="3">
        <v>2682</v>
      </c>
      <c r="J76" s="3">
        <v>8538</v>
      </c>
      <c r="K76" s="3">
        <v>95204</v>
      </c>
      <c r="L76" s="1" t="s">
        <v>4</v>
      </c>
      <c r="M76" s="41">
        <f>(F76+G76+H76)/Table23[[#This Row],[Impressions]]</f>
        <v>0.14992017142136885</v>
      </c>
    </row>
    <row r="77" spans="1:13" ht="17.399999999999999" customHeight="1" thickBot="1" x14ac:dyDescent="0.35">
      <c r="A77" s="1" t="s">
        <v>100</v>
      </c>
      <c r="B77" s="1" t="s">
        <v>22</v>
      </c>
      <c r="C77" s="2">
        <v>45687</v>
      </c>
      <c r="D77" s="1" t="s">
        <v>7</v>
      </c>
      <c r="E77" s="1" t="s">
        <v>45</v>
      </c>
      <c r="F77" s="3">
        <v>12954</v>
      </c>
      <c r="G77" s="3">
        <v>913</v>
      </c>
      <c r="H77" s="3">
        <v>722</v>
      </c>
      <c r="I77" s="3">
        <v>1049</v>
      </c>
      <c r="J77" s="3">
        <v>475</v>
      </c>
      <c r="K77" s="3">
        <v>97716</v>
      </c>
      <c r="L77" s="1" t="s">
        <v>4</v>
      </c>
      <c r="M77" s="41">
        <f>(F77+G77+H77)/Table23[[#This Row],[Impressions]]</f>
        <v>0.14930001228048631</v>
      </c>
    </row>
    <row r="78" spans="1:13" ht="17.399999999999999" customHeight="1" thickBot="1" x14ac:dyDescent="0.35">
      <c r="A78" s="1" t="s">
        <v>101</v>
      </c>
      <c r="B78" s="1" t="s">
        <v>1</v>
      </c>
      <c r="C78" s="5">
        <v>45928</v>
      </c>
      <c r="D78" s="1" t="s">
        <v>17</v>
      </c>
      <c r="E78" s="1" t="s">
        <v>25</v>
      </c>
      <c r="F78" s="3">
        <v>21963</v>
      </c>
      <c r="G78" s="3">
        <v>1356</v>
      </c>
      <c r="H78" s="3">
        <v>349</v>
      </c>
      <c r="I78" s="3">
        <v>1206</v>
      </c>
      <c r="J78" s="3">
        <v>51755</v>
      </c>
      <c r="K78" s="3">
        <v>159273</v>
      </c>
      <c r="L78" s="1" t="s">
        <v>26</v>
      </c>
      <c r="M78" s="41">
        <f>(F78+G78+H78)/Table23[[#This Row],[Impressions]]</f>
        <v>0.14860020216860359</v>
      </c>
    </row>
    <row r="79" spans="1:13" ht="17.399999999999999" customHeight="1" thickBot="1" x14ac:dyDescent="0.35">
      <c r="A79" s="1" t="s">
        <v>102</v>
      </c>
      <c r="B79" s="1" t="s">
        <v>22</v>
      </c>
      <c r="C79" s="5">
        <v>45914</v>
      </c>
      <c r="D79" s="1" t="s">
        <v>17</v>
      </c>
      <c r="E79" s="1" t="s">
        <v>15</v>
      </c>
      <c r="F79" s="3">
        <v>12787</v>
      </c>
      <c r="G79" s="3">
        <v>945</v>
      </c>
      <c r="H79" s="3">
        <v>974</v>
      </c>
      <c r="I79" s="3">
        <v>1407</v>
      </c>
      <c r="J79" s="3">
        <v>4037</v>
      </c>
      <c r="K79" s="3">
        <v>99182</v>
      </c>
      <c r="L79" s="1" t="s">
        <v>26</v>
      </c>
      <c r="M79" s="41">
        <f>(F79+G79+H79)/Table23[[#This Row],[Impressions]]</f>
        <v>0.14827287209372669</v>
      </c>
    </row>
    <row r="80" spans="1:13" ht="17.399999999999999" customHeight="1" thickBot="1" x14ac:dyDescent="0.35">
      <c r="A80" s="1" t="s">
        <v>103</v>
      </c>
      <c r="B80" s="1" t="s">
        <v>1</v>
      </c>
      <c r="C80" s="2">
        <v>45739</v>
      </c>
      <c r="D80" s="1" t="s">
        <v>14</v>
      </c>
      <c r="E80" s="1" t="s">
        <v>34</v>
      </c>
      <c r="F80" s="3">
        <v>24711</v>
      </c>
      <c r="G80" s="3">
        <v>882</v>
      </c>
      <c r="H80" s="3">
        <v>876</v>
      </c>
      <c r="I80" s="3">
        <v>2728</v>
      </c>
      <c r="J80" s="3">
        <v>32015</v>
      </c>
      <c r="K80" s="3">
        <v>180272</v>
      </c>
      <c r="L80" s="1" t="s">
        <v>9</v>
      </c>
      <c r="M80" s="41">
        <f>(F80+G80+H80)/Table23[[#This Row],[Impressions]]</f>
        <v>0.1468281263867933</v>
      </c>
    </row>
    <row r="81" spans="1:13" ht="17.399999999999999" customHeight="1" thickBot="1" x14ac:dyDescent="0.35">
      <c r="A81" s="1" t="s">
        <v>104</v>
      </c>
      <c r="B81" s="1" t="s">
        <v>6</v>
      </c>
      <c r="C81" s="5">
        <v>45912</v>
      </c>
      <c r="D81" s="1" t="s">
        <v>2</v>
      </c>
      <c r="E81" s="1" t="s">
        <v>3</v>
      </c>
      <c r="F81" s="3">
        <v>15918</v>
      </c>
      <c r="G81" s="3">
        <v>1114</v>
      </c>
      <c r="H81" s="3">
        <v>392</v>
      </c>
      <c r="I81" s="3">
        <v>1641</v>
      </c>
      <c r="J81" s="3">
        <v>28044</v>
      </c>
      <c r="K81" s="3">
        <v>118714</v>
      </c>
      <c r="L81" s="1" t="s">
        <v>26</v>
      </c>
      <c r="M81" s="41">
        <f>(F81+G81+H81)/Table23[[#This Row],[Impressions]]</f>
        <v>0.14677291642097814</v>
      </c>
    </row>
    <row r="82" spans="1:13" ht="17.399999999999999" customHeight="1" thickBot="1" x14ac:dyDescent="0.35">
      <c r="A82" s="1" t="s">
        <v>105</v>
      </c>
      <c r="B82" s="1" t="s">
        <v>22</v>
      </c>
      <c r="C82" s="2">
        <v>45647</v>
      </c>
      <c r="D82" s="1" t="s">
        <v>14</v>
      </c>
      <c r="E82" s="1" t="s">
        <v>11</v>
      </c>
      <c r="F82" s="3">
        <v>12453</v>
      </c>
      <c r="G82" s="3">
        <v>376</v>
      </c>
      <c r="H82" s="3">
        <v>320</v>
      </c>
      <c r="I82" s="3">
        <v>2546</v>
      </c>
      <c r="J82" s="3">
        <v>22617</v>
      </c>
      <c r="K82" s="3">
        <v>90138</v>
      </c>
      <c r="L82" s="1" t="s">
        <v>20</v>
      </c>
      <c r="M82" s="41">
        <f>(F82+G82+H82)/Table23[[#This Row],[Impressions]]</f>
        <v>0.14587632297144379</v>
      </c>
    </row>
    <row r="83" spans="1:13" ht="17.399999999999999" customHeight="1" thickBot="1" x14ac:dyDescent="0.35">
      <c r="A83" s="1" t="s">
        <v>106</v>
      </c>
      <c r="B83" s="1" t="s">
        <v>1</v>
      </c>
      <c r="C83" s="2">
        <v>45776</v>
      </c>
      <c r="D83" s="1" t="s">
        <v>17</v>
      </c>
      <c r="E83" s="1" t="s">
        <v>25</v>
      </c>
      <c r="F83" s="3">
        <v>16277</v>
      </c>
      <c r="G83" s="3">
        <v>1109</v>
      </c>
      <c r="H83" s="3">
        <v>375</v>
      </c>
      <c r="I83" s="3">
        <v>2225</v>
      </c>
      <c r="J83" s="3">
        <v>1044</v>
      </c>
      <c r="K83" s="3">
        <v>121889</v>
      </c>
      <c r="L83" s="1" t="s">
        <v>9</v>
      </c>
      <c r="M83" s="41">
        <f>(F83+G83+H83)/Table23[[#This Row],[Impressions]]</f>
        <v>0.14571454356012437</v>
      </c>
    </row>
    <row r="84" spans="1:13" ht="17.399999999999999" customHeight="1" thickBot="1" x14ac:dyDescent="0.35">
      <c r="A84" s="1" t="s">
        <v>107</v>
      </c>
      <c r="B84" s="1" t="s">
        <v>1</v>
      </c>
      <c r="C84" s="5">
        <v>45907</v>
      </c>
      <c r="D84" s="1" t="s">
        <v>7</v>
      </c>
      <c r="E84" s="1" t="s">
        <v>60</v>
      </c>
      <c r="F84" s="3">
        <v>4472</v>
      </c>
      <c r="G84" s="3">
        <v>1301</v>
      </c>
      <c r="H84" s="3">
        <v>956</v>
      </c>
      <c r="I84" s="3">
        <v>1186</v>
      </c>
      <c r="J84" s="3">
        <v>3363</v>
      </c>
      <c r="K84" s="3">
        <v>46471</v>
      </c>
      <c r="L84" s="1" t="s">
        <v>26</v>
      </c>
      <c r="M84" s="41">
        <f>(F84+G84+H84)/Table23[[#This Row],[Impressions]]</f>
        <v>0.14479998278496267</v>
      </c>
    </row>
    <row r="85" spans="1:13" ht="17.399999999999999" customHeight="1" thickBot="1" x14ac:dyDescent="0.35">
      <c r="A85" s="1" t="s">
        <v>108</v>
      </c>
      <c r="B85" s="1" t="s">
        <v>1</v>
      </c>
      <c r="C85" s="2">
        <v>45745</v>
      </c>
      <c r="D85" s="1" t="s">
        <v>2</v>
      </c>
      <c r="E85" s="1" t="s">
        <v>25</v>
      </c>
      <c r="F85" s="3">
        <v>19461</v>
      </c>
      <c r="G85" s="3">
        <v>1382</v>
      </c>
      <c r="H85" s="3">
        <v>445</v>
      </c>
      <c r="I85" s="3">
        <v>1307</v>
      </c>
      <c r="J85" s="3">
        <v>84691</v>
      </c>
      <c r="K85" s="3">
        <v>151453</v>
      </c>
      <c r="L85" s="1" t="s">
        <v>9</v>
      </c>
      <c r="M85" s="41">
        <f>(F85+G85+H85)/Table23[[#This Row],[Impressions]]</f>
        <v>0.14055845707909384</v>
      </c>
    </row>
    <row r="86" spans="1:13" ht="17.399999999999999" customHeight="1" thickBot="1" x14ac:dyDescent="0.35">
      <c r="A86" s="1" t="s">
        <v>109</v>
      </c>
      <c r="B86" s="1" t="s">
        <v>6</v>
      </c>
      <c r="C86" s="2">
        <v>45617</v>
      </c>
      <c r="D86" s="1" t="s">
        <v>14</v>
      </c>
      <c r="E86" s="1" t="s">
        <v>25</v>
      </c>
      <c r="F86" s="3">
        <v>8229</v>
      </c>
      <c r="G86" s="3">
        <v>977</v>
      </c>
      <c r="H86" s="3">
        <v>152</v>
      </c>
      <c r="I86" s="3">
        <v>1633</v>
      </c>
      <c r="J86" s="3">
        <v>71447</v>
      </c>
      <c r="K86" s="3">
        <v>67723</v>
      </c>
      <c r="L86" s="1" t="s">
        <v>18</v>
      </c>
      <c r="M86" s="41">
        <f>(F86+G86+H86)/Table23[[#This Row],[Impressions]]</f>
        <v>0.13818052950991538</v>
      </c>
    </row>
    <row r="87" spans="1:13" ht="17.399999999999999" customHeight="1" thickBot="1" x14ac:dyDescent="0.35">
      <c r="A87" s="1" t="s">
        <v>110</v>
      </c>
      <c r="B87" s="1" t="s">
        <v>6</v>
      </c>
      <c r="C87" s="5">
        <v>45943</v>
      </c>
      <c r="D87" s="1" t="s">
        <v>2</v>
      </c>
      <c r="E87" s="1" t="s">
        <v>15</v>
      </c>
      <c r="F87" s="3">
        <v>19302</v>
      </c>
      <c r="G87" s="3">
        <v>1367</v>
      </c>
      <c r="H87" s="3">
        <v>188</v>
      </c>
      <c r="I87" s="3">
        <v>637</v>
      </c>
      <c r="J87" s="3">
        <v>31404</v>
      </c>
      <c r="K87" s="3">
        <v>154044</v>
      </c>
      <c r="L87" s="1" t="s">
        <v>26</v>
      </c>
      <c r="M87" s="41">
        <f>(F87+G87+H87)/Table23[[#This Row],[Impressions]]</f>
        <v>0.13539638025499209</v>
      </c>
    </row>
    <row r="88" spans="1:13" ht="17.399999999999999" customHeight="1" thickBot="1" x14ac:dyDescent="0.35">
      <c r="A88" s="1" t="s">
        <v>111</v>
      </c>
      <c r="B88" s="1" t="s">
        <v>22</v>
      </c>
      <c r="C88" s="2">
        <v>45480</v>
      </c>
      <c r="D88" s="1" t="s">
        <v>7</v>
      </c>
      <c r="E88" s="1" t="s">
        <v>29</v>
      </c>
      <c r="F88" s="3">
        <v>24625</v>
      </c>
      <c r="G88" s="3">
        <v>749</v>
      </c>
      <c r="H88" s="3">
        <v>193</v>
      </c>
      <c r="I88" s="3">
        <v>1340</v>
      </c>
      <c r="J88" s="3">
        <v>4890</v>
      </c>
      <c r="K88" s="3">
        <v>189381</v>
      </c>
      <c r="L88" s="1" t="s">
        <v>4</v>
      </c>
      <c r="M88" s="41">
        <f>(F88+G88+H88)/Table23[[#This Row],[Impressions]]</f>
        <v>0.13500298340382616</v>
      </c>
    </row>
    <row r="89" spans="1:13" ht="17.399999999999999" customHeight="1" thickBot="1" x14ac:dyDescent="0.35">
      <c r="A89" s="1" t="s">
        <v>112</v>
      </c>
      <c r="B89" s="1" t="s">
        <v>22</v>
      </c>
      <c r="C89" s="5">
        <v>45913</v>
      </c>
      <c r="D89" s="1" t="s">
        <v>17</v>
      </c>
      <c r="E89" s="1" t="s">
        <v>3</v>
      </c>
      <c r="F89" s="3">
        <v>17106</v>
      </c>
      <c r="G89" s="3">
        <v>702</v>
      </c>
      <c r="H89" s="3">
        <v>459</v>
      </c>
      <c r="I89" s="3">
        <v>999</v>
      </c>
      <c r="J89" s="3">
        <v>59627</v>
      </c>
      <c r="K89" s="3">
        <v>136059</v>
      </c>
      <c r="L89" s="1" t="s">
        <v>26</v>
      </c>
      <c r="M89" s="41">
        <f>(F89+G89+H89)/Table23[[#This Row],[Impressions]]</f>
        <v>0.13425793222058077</v>
      </c>
    </row>
    <row r="90" spans="1:13" ht="17.399999999999999" customHeight="1" thickBot="1" x14ac:dyDescent="0.35">
      <c r="A90" s="1" t="s">
        <v>113</v>
      </c>
      <c r="B90" s="1" t="s">
        <v>6</v>
      </c>
      <c r="C90" s="2">
        <v>45608</v>
      </c>
      <c r="D90" s="1" t="s">
        <v>14</v>
      </c>
      <c r="E90" s="1" t="s">
        <v>29</v>
      </c>
      <c r="F90" s="3">
        <v>19022</v>
      </c>
      <c r="G90" s="3">
        <v>541</v>
      </c>
      <c r="H90" s="3">
        <v>575</v>
      </c>
      <c r="I90" s="3">
        <v>2063</v>
      </c>
      <c r="J90" s="3">
        <v>42743</v>
      </c>
      <c r="K90" s="3">
        <v>150169</v>
      </c>
      <c r="L90" s="1" t="s">
        <v>4</v>
      </c>
      <c r="M90" s="41">
        <f>(F90+G90+H90)/Table23[[#This Row],[Impressions]]</f>
        <v>0.13410224480418728</v>
      </c>
    </row>
    <row r="91" spans="1:13" ht="17.399999999999999" customHeight="1" thickBot="1" x14ac:dyDescent="0.35">
      <c r="A91" s="1" t="s">
        <v>114</v>
      </c>
      <c r="B91" s="1" t="s">
        <v>22</v>
      </c>
      <c r="C91" s="2">
        <v>45685</v>
      </c>
      <c r="D91" s="1" t="s">
        <v>7</v>
      </c>
      <c r="E91" s="1" t="s">
        <v>25</v>
      </c>
      <c r="F91" s="3">
        <v>9239</v>
      </c>
      <c r="G91" s="3">
        <v>1477</v>
      </c>
      <c r="H91" s="3">
        <v>631</v>
      </c>
      <c r="I91" s="3">
        <v>1556</v>
      </c>
      <c r="J91" s="3">
        <v>11580</v>
      </c>
      <c r="K91" s="3">
        <v>84738</v>
      </c>
      <c r="L91" s="1" t="s">
        <v>20</v>
      </c>
      <c r="M91" s="41">
        <f>(F91+G91+H91)/Table23[[#This Row],[Impressions]]</f>
        <v>0.13390686586891359</v>
      </c>
    </row>
    <row r="92" spans="1:13" ht="17.399999999999999" customHeight="1" thickBot="1" x14ac:dyDescent="0.35">
      <c r="A92" s="1" t="s">
        <v>115</v>
      </c>
      <c r="B92" s="1" t="s">
        <v>6</v>
      </c>
      <c r="C92" s="2">
        <v>45586</v>
      </c>
      <c r="D92" s="1" t="s">
        <v>7</v>
      </c>
      <c r="E92" s="1" t="s">
        <v>58</v>
      </c>
      <c r="F92" s="3">
        <v>20777</v>
      </c>
      <c r="G92" s="3">
        <v>962</v>
      </c>
      <c r="H92" s="3">
        <v>308</v>
      </c>
      <c r="I92" s="3">
        <v>2777</v>
      </c>
      <c r="J92" s="3">
        <v>25529</v>
      </c>
      <c r="K92" s="3">
        <v>165354</v>
      </c>
      <c r="L92" s="1" t="s">
        <v>4</v>
      </c>
      <c r="M92" s="41">
        <f>(F92+G92+H92)/Table23[[#This Row],[Impressions]]</f>
        <v>0.13333212380710477</v>
      </c>
    </row>
    <row r="93" spans="1:13" ht="17.399999999999999" customHeight="1" thickBot="1" x14ac:dyDescent="0.35">
      <c r="A93" s="1" t="s">
        <v>116</v>
      </c>
      <c r="B93" s="1" t="s">
        <v>13</v>
      </c>
      <c r="C93" s="2">
        <v>45719</v>
      </c>
      <c r="D93" s="1" t="s">
        <v>17</v>
      </c>
      <c r="E93" s="1" t="s">
        <v>15</v>
      </c>
      <c r="F93" s="3">
        <v>24928</v>
      </c>
      <c r="G93" s="3">
        <v>214</v>
      </c>
      <c r="H93" s="3">
        <v>765</v>
      </c>
      <c r="I93" s="3">
        <v>1556</v>
      </c>
      <c r="J93" s="3">
        <v>5239</v>
      </c>
      <c r="K93" s="3">
        <v>194571</v>
      </c>
      <c r="L93" s="1" t="s">
        <v>18</v>
      </c>
      <c r="M93" s="41">
        <f>(F93+G93+H93)/Table23[[#This Row],[Impressions]]</f>
        <v>0.13314933880177415</v>
      </c>
    </row>
    <row r="94" spans="1:13" ht="17.399999999999999" customHeight="1" thickBot="1" x14ac:dyDescent="0.35">
      <c r="A94" s="1" t="s">
        <v>117</v>
      </c>
      <c r="B94" s="1" t="s">
        <v>6</v>
      </c>
      <c r="C94" s="2">
        <v>45708</v>
      </c>
      <c r="D94" s="1" t="s">
        <v>17</v>
      </c>
      <c r="E94" s="1" t="s">
        <v>58</v>
      </c>
      <c r="F94" s="3">
        <v>15703</v>
      </c>
      <c r="G94" s="3">
        <v>1381</v>
      </c>
      <c r="H94" s="3">
        <v>639</v>
      </c>
      <c r="I94" s="3">
        <v>984</v>
      </c>
      <c r="J94" s="3">
        <v>10967</v>
      </c>
      <c r="K94" s="3">
        <v>133747</v>
      </c>
      <c r="L94" s="1" t="s">
        <v>18</v>
      </c>
      <c r="M94" s="41">
        <f>(F94+G94+H94)/Table23[[#This Row],[Impressions]]</f>
        <v>0.13251138343289942</v>
      </c>
    </row>
    <row r="95" spans="1:13" ht="17.399999999999999" customHeight="1" thickBot="1" x14ac:dyDescent="0.35">
      <c r="A95" s="1" t="s">
        <v>118</v>
      </c>
      <c r="B95" s="1" t="s">
        <v>22</v>
      </c>
      <c r="C95" s="2">
        <v>45467</v>
      </c>
      <c r="D95" s="1" t="s">
        <v>17</v>
      </c>
      <c r="E95" s="1" t="s">
        <v>3</v>
      </c>
      <c r="F95" s="3">
        <v>7713</v>
      </c>
      <c r="G95" s="3">
        <v>575</v>
      </c>
      <c r="H95" s="3">
        <v>417</v>
      </c>
      <c r="I95" s="3">
        <v>336</v>
      </c>
      <c r="J95" s="3">
        <v>61660</v>
      </c>
      <c r="K95" s="3">
        <v>66017</v>
      </c>
      <c r="L95" s="1" t="s">
        <v>9</v>
      </c>
      <c r="M95" s="41">
        <f>(F95+G95+H95)/Table23[[#This Row],[Impressions]]</f>
        <v>0.13185997546086614</v>
      </c>
    </row>
    <row r="96" spans="1:13" ht="17.399999999999999" customHeight="1" thickBot="1" x14ac:dyDescent="0.35">
      <c r="A96" s="1" t="s">
        <v>119</v>
      </c>
      <c r="B96" s="1" t="s">
        <v>22</v>
      </c>
      <c r="C96" s="5">
        <v>45925</v>
      </c>
      <c r="D96" s="1" t="s">
        <v>14</v>
      </c>
      <c r="E96" s="1" t="s">
        <v>8</v>
      </c>
      <c r="F96" s="3">
        <v>20564</v>
      </c>
      <c r="G96" s="3">
        <v>1433</v>
      </c>
      <c r="H96" s="3">
        <v>488</v>
      </c>
      <c r="I96" s="3">
        <v>1015</v>
      </c>
      <c r="J96" s="3">
        <v>24333</v>
      </c>
      <c r="K96" s="3">
        <v>172130</v>
      </c>
      <c r="L96" s="1" t="s">
        <v>26</v>
      </c>
      <c r="M96" s="41">
        <f>(F96+G96+H96)/Table23[[#This Row],[Impressions]]</f>
        <v>0.13062801371056759</v>
      </c>
    </row>
    <row r="97" spans="1:13" ht="17.399999999999999" customHeight="1" thickBot="1" x14ac:dyDescent="0.35">
      <c r="A97" s="1" t="s">
        <v>120</v>
      </c>
      <c r="B97" s="1" t="s">
        <v>13</v>
      </c>
      <c r="C97" s="2">
        <v>45462</v>
      </c>
      <c r="D97" s="1" t="s">
        <v>17</v>
      </c>
      <c r="E97" s="1" t="s">
        <v>45</v>
      </c>
      <c r="F97" s="3">
        <v>20444</v>
      </c>
      <c r="G97" s="3">
        <v>233</v>
      </c>
      <c r="H97" s="3">
        <v>189</v>
      </c>
      <c r="I97" s="3">
        <v>2879</v>
      </c>
      <c r="J97" s="3">
        <v>28185</v>
      </c>
      <c r="K97" s="3">
        <v>159891</v>
      </c>
      <c r="L97" s="1" t="s">
        <v>9</v>
      </c>
      <c r="M97" s="41">
        <f>(F97+G97+H97)/Table23[[#This Row],[Impressions]]</f>
        <v>0.13050140408153055</v>
      </c>
    </row>
    <row r="98" spans="1:13" ht="17.399999999999999" customHeight="1" thickBot="1" x14ac:dyDescent="0.35">
      <c r="A98" s="1" t="s">
        <v>121</v>
      </c>
      <c r="B98" s="1" t="s">
        <v>6</v>
      </c>
      <c r="C98" s="2">
        <v>45649</v>
      </c>
      <c r="D98" s="1" t="s">
        <v>14</v>
      </c>
      <c r="E98" s="1" t="s">
        <v>11</v>
      </c>
      <c r="F98" s="3">
        <v>24516</v>
      </c>
      <c r="G98" s="3">
        <v>976</v>
      </c>
      <c r="H98" s="3">
        <v>974</v>
      </c>
      <c r="I98" s="3">
        <v>2675</v>
      </c>
      <c r="J98" s="3">
        <v>23275</v>
      </c>
      <c r="K98" s="3">
        <v>202932</v>
      </c>
      <c r="L98" s="1" t="s">
        <v>4</v>
      </c>
      <c r="M98" s="41">
        <f>(F98+G98+H98)/Table23[[#This Row],[Impressions]]</f>
        <v>0.13041807107799658</v>
      </c>
    </row>
    <row r="99" spans="1:13" ht="17.399999999999999" customHeight="1" thickBot="1" x14ac:dyDescent="0.35">
      <c r="A99" s="1" t="s">
        <v>122</v>
      </c>
      <c r="B99" s="1" t="s">
        <v>1</v>
      </c>
      <c r="C99" s="2">
        <v>45635</v>
      </c>
      <c r="D99" s="1" t="s">
        <v>14</v>
      </c>
      <c r="E99" s="1" t="s">
        <v>29</v>
      </c>
      <c r="F99" s="3">
        <v>15051</v>
      </c>
      <c r="G99" s="3">
        <v>268</v>
      </c>
      <c r="H99" s="3">
        <v>251</v>
      </c>
      <c r="I99" s="3">
        <v>783</v>
      </c>
      <c r="J99" s="3">
        <v>34154</v>
      </c>
      <c r="K99" s="3">
        <v>119671</v>
      </c>
      <c r="L99" s="1" t="s">
        <v>9</v>
      </c>
      <c r="M99" s="41">
        <f>(F99+G99+H99)/Table23[[#This Row],[Impressions]]</f>
        <v>0.13010670922779954</v>
      </c>
    </row>
    <row r="100" spans="1:13" ht="17.399999999999999" customHeight="1" thickBot="1" x14ac:dyDescent="0.35">
      <c r="A100" s="1" t="s">
        <v>123</v>
      </c>
      <c r="B100" s="1" t="s">
        <v>6</v>
      </c>
      <c r="C100" s="2">
        <v>45712</v>
      </c>
      <c r="D100" s="1" t="s">
        <v>14</v>
      </c>
      <c r="E100" s="1" t="s">
        <v>15</v>
      </c>
      <c r="F100" s="3">
        <v>23949</v>
      </c>
      <c r="G100" s="3">
        <v>356</v>
      </c>
      <c r="H100" s="3">
        <v>616</v>
      </c>
      <c r="I100" s="3">
        <v>1847</v>
      </c>
      <c r="J100" s="3">
        <v>3144</v>
      </c>
      <c r="K100" s="3">
        <v>192999</v>
      </c>
      <c r="L100" s="1" t="s">
        <v>9</v>
      </c>
      <c r="M100" s="41">
        <f>(F100+G100+H100)/Table23[[#This Row],[Impressions]]</f>
        <v>0.12912502137316773</v>
      </c>
    </row>
    <row r="101" spans="1:13" ht="17.399999999999999" customHeight="1" thickBot="1" x14ac:dyDescent="0.35">
      <c r="A101" s="1" t="s">
        <v>124</v>
      </c>
      <c r="B101" s="1" t="s">
        <v>22</v>
      </c>
      <c r="C101" s="2">
        <v>45745</v>
      </c>
      <c r="D101" s="1" t="s">
        <v>17</v>
      </c>
      <c r="E101" s="1" t="s">
        <v>34</v>
      </c>
      <c r="F101" s="3">
        <v>23508</v>
      </c>
      <c r="G101" s="3">
        <v>585</v>
      </c>
      <c r="H101" s="3">
        <v>743</v>
      </c>
      <c r="I101" s="3">
        <v>2155</v>
      </c>
      <c r="J101" s="3">
        <v>3704</v>
      </c>
      <c r="K101" s="3">
        <v>194268</v>
      </c>
      <c r="L101" s="1" t="s">
        <v>9</v>
      </c>
      <c r="M101" s="41">
        <f>(F101+G101+H101)/Table23[[#This Row],[Impressions]]</f>
        <v>0.1278440093067309</v>
      </c>
    </row>
    <row r="102" spans="1:13" ht="17.399999999999999" customHeight="1" thickBot="1" x14ac:dyDescent="0.35">
      <c r="A102" s="1" t="s">
        <v>125</v>
      </c>
      <c r="B102" s="1" t="s">
        <v>6</v>
      </c>
      <c r="C102" s="2">
        <v>45567</v>
      </c>
      <c r="D102" s="1" t="s">
        <v>2</v>
      </c>
      <c r="E102" s="1" t="s">
        <v>3</v>
      </c>
      <c r="F102" s="3">
        <v>5086</v>
      </c>
      <c r="G102" s="3">
        <v>1336</v>
      </c>
      <c r="H102" s="3">
        <v>897</v>
      </c>
      <c r="I102" s="3">
        <v>1715</v>
      </c>
      <c r="J102" s="3">
        <v>60592</v>
      </c>
      <c r="K102" s="3">
        <v>57772</v>
      </c>
      <c r="L102" s="1" t="s">
        <v>20</v>
      </c>
      <c r="M102" s="41">
        <f>(F102+G102+H102)/Table23[[#This Row],[Impressions]]</f>
        <v>0.12668766876687668</v>
      </c>
    </row>
    <row r="103" spans="1:13" ht="17.399999999999999" customHeight="1" thickBot="1" x14ac:dyDescent="0.35">
      <c r="A103" s="1" t="s">
        <v>126</v>
      </c>
      <c r="B103" s="1" t="s">
        <v>6</v>
      </c>
      <c r="C103" s="2">
        <v>45624</v>
      </c>
      <c r="D103" s="1" t="s">
        <v>17</v>
      </c>
      <c r="E103" s="1" t="s">
        <v>58</v>
      </c>
      <c r="F103" s="3">
        <v>19055</v>
      </c>
      <c r="G103" s="3">
        <v>443</v>
      </c>
      <c r="H103" s="3">
        <v>976</v>
      </c>
      <c r="I103" s="3">
        <v>869</v>
      </c>
      <c r="J103" s="3">
        <v>75437</v>
      </c>
      <c r="K103" s="3">
        <v>161863</v>
      </c>
      <c r="L103" s="1" t="s">
        <v>20</v>
      </c>
      <c r="M103" s="41">
        <f>(F103+G103+H103)/Table23[[#This Row],[Impressions]]</f>
        <v>0.12648968572187591</v>
      </c>
    </row>
    <row r="104" spans="1:13" ht="17.399999999999999" customHeight="1" thickBot="1" x14ac:dyDescent="0.35">
      <c r="A104" s="1" t="s">
        <v>127</v>
      </c>
      <c r="B104" s="1" t="s">
        <v>1</v>
      </c>
      <c r="C104" s="5">
        <v>45923</v>
      </c>
      <c r="D104" s="1" t="s">
        <v>7</v>
      </c>
      <c r="E104" s="1" t="s">
        <v>15</v>
      </c>
      <c r="F104" s="3">
        <v>17147</v>
      </c>
      <c r="G104" s="3">
        <v>286</v>
      </c>
      <c r="H104" s="3">
        <v>291</v>
      </c>
      <c r="I104" s="3">
        <v>2439</v>
      </c>
      <c r="J104" s="3">
        <v>45631</v>
      </c>
      <c r="K104" s="3">
        <v>140494</v>
      </c>
      <c r="L104" s="1" t="s">
        <v>26</v>
      </c>
      <c r="M104" s="41">
        <f>(F104+G104+H104)/Table23[[#This Row],[Impressions]]</f>
        <v>0.12615485358805359</v>
      </c>
    </row>
    <row r="105" spans="1:13" ht="17.399999999999999" customHeight="1" thickBot="1" x14ac:dyDescent="0.35">
      <c r="A105" s="1" t="s">
        <v>128</v>
      </c>
      <c r="B105" s="1" t="s">
        <v>1</v>
      </c>
      <c r="C105" s="2">
        <v>45680</v>
      </c>
      <c r="D105" s="1" t="s">
        <v>2</v>
      </c>
      <c r="E105" s="1" t="s">
        <v>58</v>
      </c>
      <c r="F105" s="3">
        <v>23168</v>
      </c>
      <c r="G105" s="3">
        <v>1265</v>
      </c>
      <c r="H105" s="3">
        <v>441</v>
      </c>
      <c r="I105" s="3">
        <v>1612</v>
      </c>
      <c r="J105" s="3">
        <v>66615</v>
      </c>
      <c r="K105" s="3">
        <v>197795</v>
      </c>
      <c r="L105" s="1" t="s">
        <v>9</v>
      </c>
      <c r="M105" s="41">
        <f>(F105+G105+H105)/Table23[[#This Row],[Impressions]]</f>
        <v>0.12575646502692181</v>
      </c>
    </row>
    <row r="106" spans="1:13" ht="17.399999999999999" customHeight="1" thickBot="1" x14ac:dyDescent="0.35">
      <c r="A106" s="1" t="s">
        <v>129</v>
      </c>
      <c r="B106" s="1" t="s">
        <v>13</v>
      </c>
      <c r="C106" s="2">
        <v>45582</v>
      </c>
      <c r="D106" s="1" t="s">
        <v>2</v>
      </c>
      <c r="E106" s="1" t="s">
        <v>34</v>
      </c>
      <c r="F106" s="3">
        <v>18608</v>
      </c>
      <c r="G106" s="3">
        <v>1338</v>
      </c>
      <c r="H106" s="3">
        <v>365</v>
      </c>
      <c r="I106" s="3">
        <v>2289</v>
      </c>
      <c r="J106" s="3">
        <v>20785</v>
      </c>
      <c r="K106" s="3">
        <v>161999</v>
      </c>
      <c r="L106" s="1" t="s">
        <v>4</v>
      </c>
      <c r="M106" s="41">
        <f>(F106+G106+H106)/Table23[[#This Row],[Impressions]]</f>
        <v>0.12537731714393299</v>
      </c>
    </row>
    <row r="107" spans="1:13" ht="17.399999999999999" customHeight="1" thickBot="1" x14ac:dyDescent="0.35">
      <c r="A107" s="1" t="s">
        <v>130</v>
      </c>
      <c r="B107" s="1" t="s">
        <v>1</v>
      </c>
      <c r="C107" s="2">
        <v>45586</v>
      </c>
      <c r="D107" s="1" t="s">
        <v>14</v>
      </c>
      <c r="E107" s="1" t="s">
        <v>58</v>
      </c>
      <c r="F107" s="3">
        <v>20271</v>
      </c>
      <c r="G107" s="3">
        <v>512</v>
      </c>
      <c r="H107" s="3">
        <v>286</v>
      </c>
      <c r="I107" s="3">
        <v>1982</v>
      </c>
      <c r="J107" s="3">
        <v>43225</v>
      </c>
      <c r="K107" s="3">
        <v>168335</v>
      </c>
      <c r="L107" s="1" t="s">
        <v>9</v>
      </c>
      <c r="M107" s="41">
        <f>(F107+G107+H107)/Table23[[#This Row],[Impressions]]</f>
        <v>0.12516113701844536</v>
      </c>
    </row>
    <row r="108" spans="1:13" ht="17.399999999999999" customHeight="1" thickBot="1" x14ac:dyDescent="0.35">
      <c r="A108" s="1" t="s">
        <v>131</v>
      </c>
      <c r="B108" s="1" t="s">
        <v>22</v>
      </c>
      <c r="C108" s="2">
        <v>45766</v>
      </c>
      <c r="D108" s="1" t="s">
        <v>17</v>
      </c>
      <c r="E108" s="1" t="s">
        <v>37</v>
      </c>
      <c r="F108" s="3">
        <v>20384</v>
      </c>
      <c r="G108" s="3">
        <v>344</v>
      </c>
      <c r="H108" s="3">
        <v>956</v>
      </c>
      <c r="I108" s="3">
        <v>655</v>
      </c>
      <c r="J108" s="3">
        <v>67621</v>
      </c>
      <c r="K108" s="3">
        <v>175720</v>
      </c>
      <c r="L108" s="1" t="s">
        <v>20</v>
      </c>
      <c r="M108" s="41">
        <f>(F108+G108+H108)/Table23[[#This Row],[Impressions]]</f>
        <v>0.12340086501251991</v>
      </c>
    </row>
    <row r="109" spans="1:13" ht="17.399999999999999" customHeight="1" thickBot="1" x14ac:dyDescent="0.35">
      <c r="A109" s="1" t="s">
        <v>132</v>
      </c>
      <c r="B109" s="1" t="s">
        <v>1</v>
      </c>
      <c r="C109" s="2">
        <v>45593</v>
      </c>
      <c r="D109" s="1" t="s">
        <v>17</v>
      </c>
      <c r="E109" s="1" t="s">
        <v>45</v>
      </c>
      <c r="F109" s="3">
        <v>8981</v>
      </c>
      <c r="G109" s="3">
        <v>1138</v>
      </c>
      <c r="H109" s="3">
        <v>764</v>
      </c>
      <c r="I109" s="3">
        <v>2555</v>
      </c>
      <c r="J109" s="3">
        <v>92810</v>
      </c>
      <c r="K109" s="3">
        <v>88320</v>
      </c>
      <c r="L109" s="1" t="s">
        <v>18</v>
      </c>
      <c r="M109" s="41">
        <f>(F109+G109+H109)/Table23[[#This Row],[Impressions]]</f>
        <v>0.1232223731884058</v>
      </c>
    </row>
    <row r="110" spans="1:13" ht="17.399999999999999" customHeight="1" thickBot="1" x14ac:dyDescent="0.35">
      <c r="A110" s="1" t="s">
        <v>133</v>
      </c>
      <c r="B110" s="1" t="s">
        <v>6</v>
      </c>
      <c r="C110" s="2">
        <v>45496</v>
      </c>
      <c r="D110" s="1" t="s">
        <v>2</v>
      </c>
      <c r="E110" s="1" t="s">
        <v>45</v>
      </c>
      <c r="F110" s="3">
        <v>24877</v>
      </c>
      <c r="G110" s="3">
        <v>262</v>
      </c>
      <c r="H110" s="3">
        <v>513</v>
      </c>
      <c r="I110" s="3">
        <v>648</v>
      </c>
      <c r="J110" s="3">
        <v>47544</v>
      </c>
      <c r="K110" s="3">
        <v>208280</v>
      </c>
      <c r="L110" s="1" t="s">
        <v>20</v>
      </c>
      <c r="M110" s="41">
        <f>(F110+G110+H110)/Table23[[#This Row],[Impressions]]</f>
        <v>0.12316112924908777</v>
      </c>
    </row>
    <row r="111" spans="1:13" ht="17.399999999999999" customHeight="1" thickBot="1" x14ac:dyDescent="0.35">
      <c r="A111" s="1" t="s">
        <v>134</v>
      </c>
      <c r="B111" s="1" t="s">
        <v>13</v>
      </c>
      <c r="C111" s="2">
        <v>45512</v>
      </c>
      <c r="D111" s="1" t="s">
        <v>17</v>
      </c>
      <c r="E111" s="1" t="s">
        <v>25</v>
      </c>
      <c r="F111" s="3">
        <v>24355</v>
      </c>
      <c r="G111" s="3">
        <v>1087</v>
      </c>
      <c r="H111" s="3">
        <v>686</v>
      </c>
      <c r="I111" s="3">
        <v>2426</v>
      </c>
      <c r="J111" s="3">
        <v>24963</v>
      </c>
      <c r="K111" s="3">
        <v>212307</v>
      </c>
      <c r="L111" s="1" t="s">
        <v>4</v>
      </c>
      <c r="M111" s="41">
        <f>(F111+G111+H111)/Table23[[#This Row],[Impressions]]</f>
        <v>0.1230670679723231</v>
      </c>
    </row>
    <row r="112" spans="1:13" ht="17.399999999999999" customHeight="1" thickBot="1" x14ac:dyDescent="0.35">
      <c r="A112" s="1" t="s">
        <v>135</v>
      </c>
      <c r="B112" s="1" t="s">
        <v>1</v>
      </c>
      <c r="C112" s="5">
        <v>45926</v>
      </c>
      <c r="D112" s="1" t="s">
        <v>17</v>
      </c>
      <c r="E112" s="1" t="s">
        <v>11</v>
      </c>
      <c r="F112" s="3">
        <v>16369</v>
      </c>
      <c r="G112" s="3">
        <v>1452</v>
      </c>
      <c r="H112" s="3">
        <v>493</v>
      </c>
      <c r="I112" s="3">
        <v>1217</v>
      </c>
      <c r="J112" s="3">
        <v>91440</v>
      </c>
      <c r="K112" s="3">
        <v>149834</v>
      </c>
      <c r="L112" s="1" t="s">
        <v>26</v>
      </c>
      <c r="M112" s="41">
        <f>(F112+G112+H112)/Table23[[#This Row],[Impressions]]</f>
        <v>0.12222859965027964</v>
      </c>
    </row>
    <row r="113" spans="1:13" ht="17.399999999999999" customHeight="1" thickBot="1" x14ac:dyDescent="0.35">
      <c r="A113" s="1" t="s">
        <v>136</v>
      </c>
      <c r="B113" s="1" t="s">
        <v>13</v>
      </c>
      <c r="C113" s="2">
        <v>45499</v>
      </c>
      <c r="D113" s="1" t="s">
        <v>7</v>
      </c>
      <c r="E113" s="1" t="s">
        <v>25</v>
      </c>
      <c r="F113" s="3">
        <v>12176</v>
      </c>
      <c r="G113" s="3">
        <v>1005</v>
      </c>
      <c r="H113" s="3">
        <v>862</v>
      </c>
      <c r="I113" s="3">
        <v>974</v>
      </c>
      <c r="J113" s="3">
        <v>2285</v>
      </c>
      <c r="K113" s="3">
        <v>116619</v>
      </c>
      <c r="L113" s="1" t="s">
        <v>9</v>
      </c>
      <c r="M113" s="41">
        <f>(F113+G113+H113)/Table23[[#This Row],[Impressions]]</f>
        <v>0.12041777068916729</v>
      </c>
    </row>
    <row r="114" spans="1:13" ht="17.399999999999999" customHeight="1" thickBot="1" x14ac:dyDescent="0.35">
      <c r="A114" s="1" t="s">
        <v>137</v>
      </c>
      <c r="B114" s="1" t="s">
        <v>13</v>
      </c>
      <c r="C114" s="2">
        <v>45474</v>
      </c>
      <c r="D114" s="1" t="s">
        <v>2</v>
      </c>
      <c r="E114" s="1" t="s">
        <v>34</v>
      </c>
      <c r="F114" s="3">
        <v>3761</v>
      </c>
      <c r="G114" s="3">
        <v>651</v>
      </c>
      <c r="H114" s="3">
        <v>493</v>
      </c>
      <c r="I114" s="3">
        <v>2294</v>
      </c>
      <c r="J114" s="3">
        <v>71696</v>
      </c>
      <c r="K114" s="3">
        <v>41177</v>
      </c>
      <c r="L114" s="1" t="s">
        <v>4</v>
      </c>
      <c r="M114" s="41">
        <f>(F114+G114+H114)/Table23[[#This Row],[Impressions]]</f>
        <v>0.11911989702989532</v>
      </c>
    </row>
    <row r="115" spans="1:13" ht="17.399999999999999" customHeight="1" thickBot="1" x14ac:dyDescent="0.35">
      <c r="A115" s="1" t="s">
        <v>138</v>
      </c>
      <c r="B115" s="1" t="s">
        <v>1</v>
      </c>
      <c r="C115" s="2">
        <v>45444</v>
      </c>
      <c r="D115" s="1" t="s">
        <v>14</v>
      </c>
      <c r="E115" s="1" t="s">
        <v>3</v>
      </c>
      <c r="F115" s="3">
        <v>19844</v>
      </c>
      <c r="G115" s="3">
        <v>1022</v>
      </c>
      <c r="H115" s="3">
        <v>860</v>
      </c>
      <c r="I115" s="3">
        <v>2570</v>
      </c>
      <c r="J115" s="3">
        <v>23719</v>
      </c>
      <c r="K115" s="3">
        <v>182628</v>
      </c>
      <c r="L115" s="1" t="s">
        <v>20</v>
      </c>
      <c r="M115" s="41">
        <f>(F115+G115+H115)/Table23[[#This Row],[Impressions]]</f>
        <v>0.11896313818253498</v>
      </c>
    </row>
    <row r="116" spans="1:13" ht="17.399999999999999" customHeight="1" thickBot="1" x14ac:dyDescent="0.35">
      <c r="A116" s="1" t="s">
        <v>139</v>
      </c>
      <c r="B116" s="1" t="s">
        <v>13</v>
      </c>
      <c r="C116" s="2">
        <v>45464</v>
      </c>
      <c r="D116" s="1" t="s">
        <v>2</v>
      </c>
      <c r="E116" s="1" t="s">
        <v>23</v>
      </c>
      <c r="F116" s="3">
        <v>21216</v>
      </c>
      <c r="G116" s="3">
        <v>1207</v>
      </c>
      <c r="H116" s="3">
        <v>859</v>
      </c>
      <c r="I116" s="3">
        <v>328</v>
      </c>
      <c r="J116" s="3">
        <v>91296</v>
      </c>
      <c r="K116" s="3">
        <v>196683</v>
      </c>
      <c r="L116" s="1" t="s">
        <v>20</v>
      </c>
      <c r="M116" s="41">
        <f>(F116+G116+H116)/Table23[[#This Row],[Impressions]]</f>
        <v>0.1183732198512327</v>
      </c>
    </row>
    <row r="117" spans="1:13" ht="17.399999999999999" customHeight="1" thickBot="1" x14ac:dyDescent="0.35">
      <c r="A117" s="1" t="s">
        <v>140</v>
      </c>
      <c r="B117" s="1" t="s">
        <v>22</v>
      </c>
      <c r="C117" s="2">
        <v>45504</v>
      </c>
      <c r="D117" s="1" t="s">
        <v>14</v>
      </c>
      <c r="E117" s="1" t="s">
        <v>11</v>
      </c>
      <c r="F117" s="3">
        <v>12357</v>
      </c>
      <c r="G117" s="3">
        <v>716</v>
      </c>
      <c r="H117" s="3">
        <v>599</v>
      </c>
      <c r="I117" s="3">
        <v>999</v>
      </c>
      <c r="J117" s="3">
        <v>89591</v>
      </c>
      <c r="K117" s="3">
        <v>116367</v>
      </c>
      <c r="L117" s="1" t="s">
        <v>4</v>
      </c>
      <c r="M117" s="41">
        <f>(F117+G117+H117)/Table23[[#This Row],[Impressions]]</f>
        <v>0.11749035379446063</v>
      </c>
    </row>
    <row r="118" spans="1:13" ht="17.399999999999999" customHeight="1" thickBot="1" x14ac:dyDescent="0.35">
      <c r="A118" s="1" t="s">
        <v>141</v>
      </c>
      <c r="B118" s="1" t="s">
        <v>22</v>
      </c>
      <c r="C118" s="5">
        <v>45922</v>
      </c>
      <c r="D118" s="1" t="s">
        <v>17</v>
      </c>
      <c r="E118" s="1" t="s">
        <v>8</v>
      </c>
      <c r="F118" s="3">
        <v>18509</v>
      </c>
      <c r="G118" s="3">
        <v>361</v>
      </c>
      <c r="H118" s="3">
        <v>578</v>
      </c>
      <c r="I118" s="3">
        <v>1409</v>
      </c>
      <c r="J118" s="3">
        <v>10569</v>
      </c>
      <c r="K118" s="3">
        <v>166969</v>
      </c>
      <c r="L118" s="1" t="s">
        <v>26</v>
      </c>
      <c r="M118" s="41">
        <f>(F118+G118+H118)/Table23[[#This Row],[Impressions]]</f>
        <v>0.11647671124580011</v>
      </c>
    </row>
    <row r="119" spans="1:13" ht="17.399999999999999" customHeight="1" thickBot="1" x14ac:dyDescent="0.35">
      <c r="A119" s="1" t="s">
        <v>142</v>
      </c>
      <c r="B119" s="1" t="s">
        <v>6</v>
      </c>
      <c r="C119" s="2">
        <v>45465</v>
      </c>
      <c r="D119" s="1" t="s">
        <v>7</v>
      </c>
      <c r="E119" s="1" t="s">
        <v>25</v>
      </c>
      <c r="F119" s="3">
        <v>7342</v>
      </c>
      <c r="G119" s="3">
        <v>906</v>
      </c>
      <c r="H119" s="3">
        <v>902</v>
      </c>
      <c r="I119" s="3">
        <v>1199</v>
      </c>
      <c r="J119" s="3">
        <v>68488</v>
      </c>
      <c r="K119" s="3">
        <v>79310</v>
      </c>
      <c r="L119" s="1" t="s">
        <v>4</v>
      </c>
      <c r="M119" s="41">
        <f>(F119+G119+H119)/Table23[[#This Row],[Impressions]]</f>
        <v>0.1153700668263775</v>
      </c>
    </row>
    <row r="120" spans="1:13" ht="17.399999999999999" customHeight="1" thickBot="1" x14ac:dyDescent="0.35">
      <c r="A120" s="1" t="s">
        <v>143</v>
      </c>
      <c r="B120" s="1" t="s">
        <v>13</v>
      </c>
      <c r="C120" s="2">
        <v>45604</v>
      </c>
      <c r="D120" s="1" t="s">
        <v>7</v>
      </c>
      <c r="E120" s="1" t="s">
        <v>23</v>
      </c>
      <c r="F120" s="3">
        <v>23499</v>
      </c>
      <c r="G120" s="3">
        <v>562</v>
      </c>
      <c r="H120" s="3">
        <v>964</v>
      </c>
      <c r="I120" s="3">
        <v>2557</v>
      </c>
      <c r="J120" s="3">
        <v>56890</v>
      </c>
      <c r="K120" s="3">
        <v>218686</v>
      </c>
      <c r="L120" s="1" t="s">
        <v>9</v>
      </c>
      <c r="M120" s="41">
        <f>(F120+G120+H120)/Table23[[#This Row],[Impressions]]</f>
        <v>0.11443347996671026</v>
      </c>
    </row>
    <row r="121" spans="1:13" ht="17.399999999999999" customHeight="1" thickBot="1" x14ac:dyDescent="0.35">
      <c r="A121" s="1" t="s">
        <v>144</v>
      </c>
      <c r="B121" s="1" t="s">
        <v>1</v>
      </c>
      <c r="C121" s="2">
        <v>45567</v>
      </c>
      <c r="D121" s="1" t="s">
        <v>14</v>
      </c>
      <c r="E121" s="1" t="s">
        <v>34</v>
      </c>
      <c r="F121" s="3">
        <v>15716</v>
      </c>
      <c r="G121" s="3">
        <v>839</v>
      </c>
      <c r="H121" s="3">
        <v>639</v>
      </c>
      <c r="I121" s="3">
        <v>2839</v>
      </c>
      <c r="J121" s="3">
        <v>349</v>
      </c>
      <c r="K121" s="3">
        <v>150677</v>
      </c>
      <c r="L121" s="1" t="s">
        <v>20</v>
      </c>
      <c r="M121" s="41">
        <f>(F121+G121+H121)/Table23[[#This Row],[Impressions]]</f>
        <v>0.11411164278556117</v>
      </c>
    </row>
    <row r="122" spans="1:13" ht="17.399999999999999" customHeight="1" thickBot="1" x14ac:dyDescent="0.35">
      <c r="A122" s="1" t="s">
        <v>145</v>
      </c>
      <c r="B122" s="1" t="s">
        <v>1</v>
      </c>
      <c r="C122" s="2">
        <v>45453</v>
      </c>
      <c r="D122" s="1" t="s">
        <v>2</v>
      </c>
      <c r="E122" s="1" t="s">
        <v>3</v>
      </c>
      <c r="F122" s="3">
        <v>21561</v>
      </c>
      <c r="G122" s="3">
        <v>340</v>
      </c>
      <c r="H122" s="3">
        <v>741</v>
      </c>
      <c r="I122" s="3">
        <v>986</v>
      </c>
      <c r="J122" s="3">
        <v>24826</v>
      </c>
      <c r="K122" s="3">
        <v>198492</v>
      </c>
      <c r="L122" s="1" t="s">
        <v>4</v>
      </c>
      <c r="M122" s="41">
        <f>(F122+G122+H122)/Table23[[#This Row],[Impressions]]</f>
        <v>0.11407008846704149</v>
      </c>
    </row>
    <row r="123" spans="1:13" ht="17.399999999999999" customHeight="1" thickBot="1" x14ac:dyDescent="0.35">
      <c r="A123" s="1" t="s">
        <v>146</v>
      </c>
      <c r="B123" s="1" t="s">
        <v>6</v>
      </c>
      <c r="C123" s="5">
        <v>45936</v>
      </c>
      <c r="D123" s="1" t="s">
        <v>2</v>
      </c>
      <c r="E123" s="1" t="s">
        <v>34</v>
      </c>
      <c r="F123" s="3">
        <v>22028</v>
      </c>
      <c r="G123" s="3">
        <v>355</v>
      </c>
      <c r="H123" s="3">
        <v>665</v>
      </c>
      <c r="I123" s="3">
        <v>1859</v>
      </c>
      <c r="J123" s="3">
        <v>50565</v>
      </c>
      <c r="K123" s="3">
        <v>202962</v>
      </c>
      <c r="L123" s="1" t="s">
        <v>26</v>
      </c>
      <c r="M123" s="41">
        <f>(F123+G123+H123)/Table23[[#This Row],[Impressions]]</f>
        <v>0.11355820301337197</v>
      </c>
    </row>
    <row r="124" spans="1:13" ht="17.399999999999999" customHeight="1" thickBot="1" x14ac:dyDescent="0.35">
      <c r="A124" s="1" t="s">
        <v>147</v>
      </c>
      <c r="B124" s="1" t="s">
        <v>13</v>
      </c>
      <c r="C124" s="2">
        <v>45552</v>
      </c>
      <c r="D124" s="1" t="s">
        <v>7</v>
      </c>
      <c r="E124" s="1" t="s">
        <v>58</v>
      </c>
      <c r="F124" s="3">
        <v>20017</v>
      </c>
      <c r="G124" s="3">
        <v>495</v>
      </c>
      <c r="H124" s="3">
        <v>178</v>
      </c>
      <c r="I124" s="3">
        <v>2683</v>
      </c>
      <c r="J124" s="3">
        <v>32244</v>
      </c>
      <c r="K124" s="3">
        <v>182633</v>
      </c>
      <c r="L124" s="1" t="s">
        <v>4</v>
      </c>
      <c r="M124" s="41">
        <f>(F124+G124+H124)/Table23[[#This Row],[Impressions]]</f>
        <v>0.11328730295182141</v>
      </c>
    </row>
    <row r="125" spans="1:13" ht="17.399999999999999" customHeight="1" thickBot="1" x14ac:dyDescent="0.35">
      <c r="A125" s="1" t="s">
        <v>148</v>
      </c>
      <c r="B125" s="1" t="s">
        <v>22</v>
      </c>
      <c r="C125" s="2">
        <v>45667</v>
      </c>
      <c r="D125" s="1" t="s">
        <v>17</v>
      </c>
      <c r="E125" s="1" t="s">
        <v>45</v>
      </c>
      <c r="F125" s="3">
        <v>14647</v>
      </c>
      <c r="G125" s="3">
        <v>1168</v>
      </c>
      <c r="H125" s="3">
        <v>484</v>
      </c>
      <c r="I125" s="3">
        <v>2650</v>
      </c>
      <c r="J125" s="3">
        <v>27217</v>
      </c>
      <c r="K125" s="3">
        <v>144061</v>
      </c>
      <c r="L125" s="1" t="s">
        <v>9</v>
      </c>
      <c r="M125" s="41">
        <f>(F125+G125+H125)/Table23[[#This Row],[Impressions]]</f>
        <v>0.11313957281984714</v>
      </c>
    </row>
    <row r="126" spans="1:13" ht="17.399999999999999" customHeight="1" thickBot="1" x14ac:dyDescent="0.35">
      <c r="A126" s="1" t="s">
        <v>149</v>
      </c>
      <c r="B126" s="1" t="s">
        <v>22</v>
      </c>
      <c r="C126" s="5">
        <v>45935</v>
      </c>
      <c r="D126" s="1" t="s">
        <v>7</v>
      </c>
      <c r="E126" s="1" t="s">
        <v>3</v>
      </c>
      <c r="F126" s="3">
        <v>21262</v>
      </c>
      <c r="G126" s="3">
        <v>861</v>
      </c>
      <c r="H126" s="3">
        <v>676</v>
      </c>
      <c r="I126" s="3">
        <v>2263</v>
      </c>
      <c r="J126" s="3">
        <v>12085</v>
      </c>
      <c r="K126" s="3">
        <v>201731</v>
      </c>
      <c r="L126" s="1" t="s">
        <v>26</v>
      </c>
      <c r="M126" s="41">
        <f>(F126+G126+H126)/Table23[[#This Row],[Impressions]]</f>
        <v>0.11301683925623726</v>
      </c>
    </row>
    <row r="127" spans="1:13" ht="17.399999999999999" customHeight="1" thickBot="1" x14ac:dyDescent="0.35">
      <c r="A127" s="1" t="s">
        <v>150</v>
      </c>
      <c r="B127" s="1" t="s">
        <v>6</v>
      </c>
      <c r="C127" s="2">
        <v>45519</v>
      </c>
      <c r="D127" s="1" t="s">
        <v>14</v>
      </c>
      <c r="E127" s="1" t="s">
        <v>58</v>
      </c>
      <c r="F127" s="3">
        <v>15503</v>
      </c>
      <c r="G127" s="3">
        <v>313</v>
      </c>
      <c r="H127" s="3">
        <v>388</v>
      </c>
      <c r="I127" s="3">
        <v>1078</v>
      </c>
      <c r="J127" s="3">
        <v>11500</v>
      </c>
      <c r="K127" s="3">
        <v>143754</v>
      </c>
      <c r="L127" s="1" t="s">
        <v>9</v>
      </c>
      <c r="M127" s="41">
        <f>(F127+G127+H127)/Table23[[#This Row],[Impressions]]</f>
        <v>0.1127203416948398</v>
      </c>
    </row>
    <row r="128" spans="1:13" ht="17.399999999999999" customHeight="1" thickBot="1" x14ac:dyDescent="0.35">
      <c r="A128" s="1" t="s">
        <v>151</v>
      </c>
      <c r="B128" s="1" t="s">
        <v>13</v>
      </c>
      <c r="C128" s="2">
        <v>45537</v>
      </c>
      <c r="D128" s="1" t="s">
        <v>17</v>
      </c>
      <c r="E128" s="1" t="s">
        <v>23</v>
      </c>
      <c r="F128" s="3">
        <v>12040</v>
      </c>
      <c r="G128" s="3">
        <v>1147</v>
      </c>
      <c r="H128" s="3">
        <v>210</v>
      </c>
      <c r="I128" s="3">
        <v>885</v>
      </c>
      <c r="J128" s="3">
        <v>30360</v>
      </c>
      <c r="K128" s="3">
        <v>119530</v>
      </c>
      <c r="L128" s="1" t="s">
        <v>9</v>
      </c>
      <c r="M128" s="41">
        <f>(F128+G128+H128)/Table23[[#This Row],[Impressions]]</f>
        <v>0.1120806492094035</v>
      </c>
    </row>
    <row r="129" spans="1:13" ht="17.399999999999999" customHeight="1" thickBot="1" x14ac:dyDescent="0.35">
      <c r="A129" s="1" t="s">
        <v>152</v>
      </c>
      <c r="B129" s="1" t="s">
        <v>1</v>
      </c>
      <c r="C129" s="2">
        <v>45586</v>
      </c>
      <c r="D129" s="1" t="s">
        <v>7</v>
      </c>
      <c r="E129" s="1" t="s">
        <v>29</v>
      </c>
      <c r="F129" s="3">
        <v>19715</v>
      </c>
      <c r="G129" s="3">
        <v>1014</v>
      </c>
      <c r="H129" s="3">
        <v>718</v>
      </c>
      <c r="I129" s="3">
        <v>1185</v>
      </c>
      <c r="J129" s="3">
        <v>37625</v>
      </c>
      <c r="K129" s="3">
        <v>191409</v>
      </c>
      <c r="L129" s="1" t="s">
        <v>4</v>
      </c>
      <c r="M129" s="41">
        <f>(F129+G129+H129)/Table23[[#This Row],[Impressions]]</f>
        <v>0.11204802282024356</v>
      </c>
    </row>
    <row r="130" spans="1:13" ht="17.399999999999999" customHeight="1" thickBot="1" x14ac:dyDescent="0.35">
      <c r="A130" s="1" t="s">
        <v>153</v>
      </c>
      <c r="B130" s="1" t="s">
        <v>13</v>
      </c>
      <c r="C130" s="2">
        <v>45463</v>
      </c>
      <c r="D130" s="1" t="s">
        <v>2</v>
      </c>
      <c r="E130" s="1" t="s">
        <v>25</v>
      </c>
      <c r="F130" s="3">
        <v>21123</v>
      </c>
      <c r="G130" s="3">
        <v>1343</v>
      </c>
      <c r="H130" s="3">
        <v>589</v>
      </c>
      <c r="I130" s="3">
        <v>727</v>
      </c>
      <c r="J130" s="3">
        <v>87833</v>
      </c>
      <c r="K130" s="3">
        <v>206703</v>
      </c>
      <c r="L130" s="1" t="s">
        <v>4</v>
      </c>
      <c r="M130" s="41">
        <f>(F130+G130+H130)/Table23[[#This Row],[Impressions]]</f>
        <v>0.11153684271636116</v>
      </c>
    </row>
    <row r="131" spans="1:13" ht="17.399999999999999" customHeight="1" thickBot="1" x14ac:dyDescent="0.35">
      <c r="A131" s="1" t="s">
        <v>154</v>
      </c>
      <c r="B131" s="1" t="s">
        <v>1</v>
      </c>
      <c r="C131" s="2">
        <v>45466</v>
      </c>
      <c r="D131" s="1" t="s">
        <v>7</v>
      </c>
      <c r="E131" s="1" t="s">
        <v>15</v>
      </c>
      <c r="F131" s="3">
        <v>16512</v>
      </c>
      <c r="G131" s="3">
        <v>1050</v>
      </c>
      <c r="H131" s="3">
        <v>971</v>
      </c>
      <c r="I131" s="3">
        <v>1891</v>
      </c>
      <c r="J131" s="3">
        <v>15865</v>
      </c>
      <c r="K131" s="3">
        <v>166503</v>
      </c>
      <c r="L131" s="1" t="s">
        <v>9</v>
      </c>
      <c r="M131" s="41">
        <f>(F131+G131+H131)/Table23[[#This Row],[Impressions]]</f>
        <v>0.1113073037723044</v>
      </c>
    </row>
    <row r="132" spans="1:13" ht="17.399999999999999" customHeight="1" thickBot="1" x14ac:dyDescent="0.35">
      <c r="A132" s="1" t="s">
        <v>155</v>
      </c>
      <c r="B132" s="1" t="s">
        <v>22</v>
      </c>
      <c r="C132" s="2">
        <v>45789</v>
      </c>
      <c r="D132" s="1" t="s">
        <v>7</v>
      </c>
      <c r="E132" s="1" t="s">
        <v>34</v>
      </c>
      <c r="F132" s="3">
        <v>19308</v>
      </c>
      <c r="G132" s="3">
        <v>1318</v>
      </c>
      <c r="H132" s="3">
        <v>795</v>
      </c>
      <c r="I132" s="3">
        <v>1499</v>
      </c>
      <c r="J132" s="3">
        <v>52307</v>
      </c>
      <c r="K132" s="3">
        <v>193087</v>
      </c>
      <c r="L132" s="1" t="s">
        <v>20</v>
      </c>
      <c r="M132" s="41">
        <f>(F132+G132+H132)/Table23[[#This Row],[Impressions]]</f>
        <v>0.11093962825047776</v>
      </c>
    </row>
    <row r="133" spans="1:13" ht="17.399999999999999" customHeight="1" thickBot="1" x14ac:dyDescent="0.35">
      <c r="A133" s="1" t="s">
        <v>156</v>
      </c>
      <c r="B133" s="1" t="s">
        <v>6</v>
      </c>
      <c r="C133" s="2">
        <v>45448</v>
      </c>
      <c r="D133" s="1" t="s">
        <v>7</v>
      </c>
      <c r="E133" s="1" t="s">
        <v>45</v>
      </c>
      <c r="F133" s="3">
        <v>18907</v>
      </c>
      <c r="G133" s="3">
        <v>1075</v>
      </c>
      <c r="H133" s="3">
        <v>675</v>
      </c>
      <c r="I133" s="3">
        <v>1383</v>
      </c>
      <c r="J133" s="3">
        <v>17875</v>
      </c>
      <c r="K133" s="3">
        <v>186649</v>
      </c>
      <c r="L133" s="1" t="s">
        <v>4</v>
      </c>
      <c r="M133" s="41">
        <f>(F133+G133+H133)/Table23[[#This Row],[Impressions]]</f>
        <v>0.11067297440650634</v>
      </c>
    </row>
    <row r="134" spans="1:13" ht="17.399999999999999" customHeight="1" thickBot="1" x14ac:dyDescent="0.35">
      <c r="A134" s="1" t="s">
        <v>157</v>
      </c>
      <c r="B134" s="1" t="s">
        <v>6</v>
      </c>
      <c r="C134" s="2">
        <v>45552</v>
      </c>
      <c r="D134" s="1" t="s">
        <v>2</v>
      </c>
      <c r="E134" s="1" t="s">
        <v>3</v>
      </c>
      <c r="F134" s="3">
        <v>20410</v>
      </c>
      <c r="G134" s="3">
        <v>1332</v>
      </c>
      <c r="H134" s="3">
        <v>472</v>
      </c>
      <c r="I134" s="3">
        <v>1202</v>
      </c>
      <c r="J134" s="3">
        <v>9418</v>
      </c>
      <c r="K134" s="3">
        <v>200806</v>
      </c>
      <c r="L134" s="1" t="s">
        <v>4</v>
      </c>
      <c r="M134" s="41">
        <f>(F134+G134+H134)/Table23[[#This Row],[Impressions]]</f>
        <v>0.11062418453631864</v>
      </c>
    </row>
    <row r="135" spans="1:13" ht="17.399999999999999" customHeight="1" thickBot="1" x14ac:dyDescent="0.35">
      <c r="A135" s="1" t="s">
        <v>158</v>
      </c>
      <c r="B135" s="1" t="s">
        <v>1</v>
      </c>
      <c r="C135" s="2">
        <v>45648</v>
      </c>
      <c r="D135" s="1" t="s">
        <v>7</v>
      </c>
      <c r="E135" s="1" t="s">
        <v>23</v>
      </c>
      <c r="F135" s="3">
        <v>20117</v>
      </c>
      <c r="G135" s="3">
        <v>1143</v>
      </c>
      <c r="H135" s="3">
        <v>713</v>
      </c>
      <c r="I135" s="3">
        <v>1739</v>
      </c>
      <c r="J135" s="3">
        <v>34444</v>
      </c>
      <c r="K135" s="3">
        <v>198670</v>
      </c>
      <c r="L135" s="1" t="s">
        <v>18</v>
      </c>
      <c r="M135" s="41">
        <f>(F135+G135+H135)/Table23[[#This Row],[Impressions]]</f>
        <v>0.11060049328031409</v>
      </c>
    </row>
    <row r="136" spans="1:13" ht="17.399999999999999" customHeight="1" thickBot="1" x14ac:dyDescent="0.35">
      <c r="A136" s="1" t="s">
        <v>159</v>
      </c>
      <c r="B136" s="1" t="s">
        <v>1</v>
      </c>
      <c r="C136" s="2">
        <v>45568</v>
      </c>
      <c r="D136" s="1" t="s">
        <v>14</v>
      </c>
      <c r="E136" s="1" t="s">
        <v>23</v>
      </c>
      <c r="F136" s="3">
        <v>22618</v>
      </c>
      <c r="G136" s="3">
        <v>641</v>
      </c>
      <c r="H136" s="3">
        <v>416</v>
      </c>
      <c r="I136" s="3">
        <v>1530</v>
      </c>
      <c r="J136" s="3">
        <v>18395</v>
      </c>
      <c r="K136" s="3">
        <v>215211</v>
      </c>
      <c r="L136" s="1" t="s">
        <v>18</v>
      </c>
      <c r="M136" s="41">
        <f>(F136+G136+H136)/Table23[[#This Row],[Impressions]]</f>
        <v>0.1100083174187193</v>
      </c>
    </row>
    <row r="137" spans="1:13" ht="17.399999999999999" customHeight="1" thickBot="1" x14ac:dyDescent="0.35">
      <c r="A137" s="1" t="s">
        <v>160</v>
      </c>
      <c r="B137" s="1" t="s">
        <v>13</v>
      </c>
      <c r="C137" s="2">
        <v>45509</v>
      </c>
      <c r="D137" s="1" t="s">
        <v>2</v>
      </c>
      <c r="E137" s="1" t="s">
        <v>11</v>
      </c>
      <c r="F137" s="3">
        <v>20935</v>
      </c>
      <c r="G137" s="3">
        <v>1104</v>
      </c>
      <c r="H137" s="3">
        <v>876</v>
      </c>
      <c r="I137" s="3">
        <v>1270</v>
      </c>
      <c r="J137" s="3">
        <v>21454</v>
      </c>
      <c r="K137" s="3">
        <v>208722</v>
      </c>
      <c r="L137" s="1" t="s">
        <v>20</v>
      </c>
      <c r="M137" s="41">
        <f>(F137+G137+H137)/Table23[[#This Row],[Impressions]]</f>
        <v>0.10978718103506099</v>
      </c>
    </row>
    <row r="138" spans="1:13" ht="17.399999999999999" customHeight="1" thickBot="1" x14ac:dyDescent="0.35">
      <c r="A138" s="1" t="s">
        <v>161</v>
      </c>
      <c r="B138" s="1" t="s">
        <v>22</v>
      </c>
      <c r="C138" s="2">
        <v>45658</v>
      </c>
      <c r="D138" s="1" t="s">
        <v>2</v>
      </c>
      <c r="E138" s="1" t="s">
        <v>29</v>
      </c>
      <c r="F138" s="3">
        <v>24574</v>
      </c>
      <c r="G138" s="3">
        <v>909</v>
      </c>
      <c r="H138" s="3">
        <v>280</v>
      </c>
      <c r="I138" s="3">
        <v>2009</v>
      </c>
      <c r="J138" s="3">
        <v>6221</v>
      </c>
      <c r="K138" s="3">
        <v>236910</v>
      </c>
      <c r="L138" s="1" t="s">
        <v>18</v>
      </c>
      <c r="M138" s="41">
        <f>(F138+G138+H138)/Table23[[#This Row],[Impressions]]</f>
        <v>0.10874593727575872</v>
      </c>
    </row>
    <row r="139" spans="1:13" ht="17.399999999999999" customHeight="1" thickBot="1" x14ac:dyDescent="0.35">
      <c r="A139" s="1" t="s">
        <v>162</v>
      </c>
      <c r="B139" s="1" t="s">
        <v>1</v>
      </c>
      <c r="C139" s="5">
        <v>45911</v>
      </c>
      <c r="D139" s="1" t="s">
        <v>17</v>
      </c>
      <c r="E139" s="1" t="s">
        <v>58</v>
      </c>
      <c r="F139" s="3">
        <v>10175</v>
      </c>
      <c r="G139" s="3">
        <v>342</v>
      </c>
      <c r="H139" s="3">
        <v>825</v>
      </c>
      <c r="I139" s="3">
        <v>2904</v>
      </c>
      <c r="J139" s="3">
        <v>15954</v>
      </c>
      <c r="K139" s="3">
        <v>104324</v>
      </c>
      <c r="L139" s="1" t="s">
        <v>26</v>
      </c>
      <c r="M139" s="41">
        <f>(F139+G139+H139)/Table23[[#This Row],[Impressions]]</f>
        <v>0.10871899083624094</v>
      </c>
    </row>
    <row r="140" spans="1:13" ht="17.399999999999999" customHeight="1" thickBot="1" x14ac:dyDescent="0.35">
      <c r="A140" s="1" t="s">
        <v>163</v>
      </c>
      <c r="B140" s="1" t="s">
        <v>13</v>
      </c>
      <c r="C140" s="2">
        <v>45643</v>
      </c>
      <c r="D140" s="1" t="s">
        <v>14</v>
      </c>
      <c r="E140" s="1" t="s">
        <v>25</v>
      </c>
      <c r="F140" s="3">
        <v>20030</v>
      </c>
      <c r="G140" s="3">
        <v>485</v>
      </c>
      <c r="H140" s="3">
        <v>888</v>
      </c>
      <c r="I140" s="3">
        <v>1643</v>
      </c>
      <c r="J140" s="3">
        <v>4322</v>
      </c>
      <c r="K140" s="3">
        <v>196995</v>
      </c>
      <c r="L140" s="1" t="s">
        <v>20</v>
      </c>
      <c r="M140" s="41">
        <f>(F140+G140+H140)/Table23[[#This Row],[Impressions]]</f>
        <v>0.10864742759968526</v>
      </c>
    </row>
    <row r="141" spans="1:13" ht="17.399999999999999" customHeight="1" thickBot="1" x14ac:dyDescent="0.35">
      <c r="A141" s="1" t="s">
        <v>164</v>
      </c>
      <c r="B141" s="1" t="s">
        <v>13</v>
      </c>
      <c r="C141" s="5">
        <v>45919</v>
      </c>
      <c r="D141" s="1" t="s">
        <v>14</v>
      </c>
      <c r="E141" s="1" t="s">
        <v>25</v>
      </c>
      <c r="F141" s="3">
        <v>19100</v>
      </c>
      <c r="G141" s="3">
        <v>619</v>
      </c>
      <c r="H141" s="3">
        <v>297</v>
      </c>
      <c r="I141" s="3">
        <v>2312</v>
      </c>
      <c r="J141" s="3">
        <v>9730</v>
      </c>
      <c r="K141" s="3">
        <v>184832</v>
      </c>
      <c r="L141" s="1" t="s">
        <v>26</v>
      </c>
      <c r="M141" s="41">
        <f>(F141+G141+H141)/Table23[[#This Row],[Impressions]]</f>
        <v>0.10829293628808864</v>
      </c>
    </row>
    <row r="142" spans="1:13" ht="17.399999999999999" customHeight="1" thickBot="1" x14ac:dyDescent="0.35">
      <c r="A142" s="1" t="s">
        <v>165</v>
      </c>
      <c r="B142" s="1" t="s">
        <v>22</v>
      </c>
      <c r="C142" s="5">
        <v>45920</v>
      </c>
      <c r="D142" s="1" t="s">
        <v>14</v>
      </c>
      <c r="E142" s="1" t="s">
        <v>25</v>
      </c>
      <c r="F142" s="3">
        <v>12267</v>
      </c>
      <c r="G142" s="3">
        <v>1487</v>
      </c>
      <c r="H142" s="3">
        <v>489</v>
      </c>
      <c r="I142" s="3">
        <v>2748</v>
      </c>
      <c r="J142" s="3">
        <v>34685</v>
      </c>
      <c r="K142" s="3">
        <v>131736</v>
      </c>
      <c r="L142" s="1" t="s">
        <v>26</v>
      </c>
      <c r="M142" s="41">
        <f>(F142+G142+H142)/Table23[[#This Row],[Impressions]]</f>
        <v>0.1081177506528208</v>
      </c>
    </row>
    <row r="143" spans="1:13" ht="17.399999999999999" customHeight="1" thickBot="1" x14ac:dyDescent="0.35">
      <c r="A143" s="1" t="s">
        <v>166</v>
      </c>
      <c r="B143" s="1" t="s">
        <v>13</v>
      </c>
      <c r="C143" s="2">
        <v>45675</v>
      </c>
      <c r="D143" s="1" t="s">
        <v>7</v>
      </c>
      <c r="E143" s="1" t="s">
        <v>45</v>
      </c>
      <c r="F143" s="3">
        <v>22673</v>
      </c>
      <c r="G143" s="3">
        <v>1053</v>
      </c>
      <c r="H143" s="3">
        <v>169</v>
      </c>
      <c r="I143" s="3">
        <v>1566</v>
      </c>
      <c r="J143" s="3">
        <v>9417</v>
      </c>
      <c r="K143" s="3">
        <v>221187</v>
      </c>
      <c r="L143" s="1" t="s">
        <v>9</v>
      </c>
      <c r="M143" s="41">
        <f>(F143+G143+H143)/Table23[[#This Row],[Impressions]]</f>
        <v>0.10803076130152314</v>
      </c>
    </row>
    <row r="144" spans="1:13" ht="17.399999999999999" customHeight="1" thickBot="1" x14ac:dyDescent="0.35">
      <c r="A144" s="1" t="s">
        <v>167</v>
      </c>
      <c r="B144" s="1" t="s">
        <v>1</v>
      </c>
      <c r="C144" s="2">
        <v>45760</v>
      </c>
      <c r="D144" s="1" t="s">
        <v>17</v>
      </c>
      <c r="E144" s="1" t="s">
        <v>37</v>
      </c>
      <c r="F144" s="3">
        <v>24700</v>
      </c>
      <c r="G144" s="3">
        <v>327</v>
      </c>
      <c r="H144" s="3">
        <v>999</v>
      </c>
      <c r="I144" s="3">
        <v>994</v>
      </c>
      <c r="J144" s="3">
        <v>59400</v>
      </c>
      <c r="K144" s="3">
        <v>243502</v>
      </c>
      <c r="L144" s="1" t="s">
        <v>20</v>
      </c>
      <c r="M144" s="41">
        <f>(F144+G144+H144)/Table23[[#This Row],[Impressions]]</f>
        <v>0.10688207899729776</v>
      </c>
    </row>
    <row r="145" spans="1:13" ht="17.399999999999999" customHeight="1" thickBot="1" x14ac:dyDescent="0.35">
      <c r="A145" s="1" t="s">
        <v>168</v>
      </c>
      <c r="B145" s="1" t="s">
        <v>6</v>
      </c>
      <c r="C145" s="5">
        <v>45941</v>
      </c>
      <c r="D145" s="1" t="s">
        <v>17</v>
      </c>
      <c r="E145" s="1" t="s">
        <v>25</v>
      </c>
      <c r="F145" s="3">
        <v>15623</v>
      </c>
      <c r="G145" s="3">
        <v>869</v>
      </c>
      <c r="H145" s="3">
        <v>423</v>
      </c>
      <c r="I145" s="3">
        <v>371</v>
      </c>
      <c r="J145" s="3">
        <v>47579</v>
      </c>
      <c r="K145" s="3">
        <v>158516</v>
      </c>
      <c r="L145" s="1" t="s">
        <v>26</v>
      </c>
      <c r="M145" s="41">
        <f>(F145+G145+H145)/Table23[[#This Row],[Impressions]]</f>
        <v>0.10670847106916652</v>
      </c>
    </row>
    <row r="146" spans="1:13" ht="17.399999999999999" customHeight="1" thickBot="1" x14ac:dyDescent="0.35">
      <c r="A146" s="1" t="s">
        <v>169</v>
      </c>
      <c r="B146" s="1" t="s">
        <v>6</v>
      </c>
      <c r="C146" s="2">
        <v>45649</v>
      </c>
      <c r="D146" s="1" t="s">
        <v>2</v>
      </c>
      <c r="E146" s="1" t="s">
        <v>34</v>
      </c>
      <c r="F146" s="3">
        <v>18616</v>
      </c>
      <c r="G146" s="3">
        <v>1277</v>
      </c>
      <c r="H146" s="3">
        <v>734</v>
      </c>
      <c r="I146" s="3">
        <v>2249</v>
      </c>
      <c r="J146" s="3">
        <v>3399</v>
      </c>
      <c r="K146" s="3">
        <v>193515</v>
      </c>
      <c r="L146" s="1" t="s">
        <v>9</v>
      </c>
      <c r="M146" s="41">
        <f>(F146+G146+H146)/Table23[[#This Row],[Impressions]]</f>
        <v>0.10659122031883833</v>
      </c>
    </row>
    <row r="147" spans="1:13" ht="17.399999999999999" customHeight="1" thickBot="1" x14ac:dyDescent="0.35">
      <c r="A147" s="1" t="s">
        <v>170</v>
      </c>
      <c r="B147" s="1" t="s">
        <v>1</v>
      </c>
      <c r="C147" s="2">
        <v>45743</v>
      </c>
      <c r="D147" s="1" t="s">
        <v>7</v>
      </c>
      <c r="E147" s="1" t="s">
        <v>45</v>
      </c>
      <c r="F147" s="3">
        <v>14819</v>
      </c>
      <c r="G147" s="3">
        <v>1432</v>
      </c>
      <c r="H147" s="3">
        <v>152</v>
      </c>
      <c r="I147" s="3">
        <v>961</v>
      </c>
      <c r="J147" s="3">
        <v>39154</v>
      </c>
      <c r="K147" s="3">
        <v>154793</v>
      </c>
      <c r="L147" s="1" t="s">
        <v>9</v>
      </c>
      <c r="M147" s="41">
        <f>(F147+G147+H147)/Table23[[#This Row],[Impressions]]</f>
        <v>0.10596732410380315</v>
      </c>
    </row>
    <row r="148" spans="1:13" ht="17.399999999999999" customHeight="1" thickBot="1" x14ac:dyDescent="0.35">
      <c r="A148" s="1" t="s">
        <v>171</v>
      </c>
      <c r="B148" s="1" t="s">
        <v>1</v>
      </c>
      <c r="C148" s="5">
        <v>45919</v>
      </c>
      <c r="D148" s="1" t="s">
        <v>17</v>
      </c>
      <c r="E148" s="1" t="s">
        <v>23</v>
      </c>
      <c r="F148" s="3">
        <v>14772</v>
      </c>
      <c r="G148" s="3">
        <v>1030</v>
      </c>
      <c r="H148" s="3">
        <v>508</v>
      </c>
      <c r="I148" s="3">
        <v>1876</v>
      </c>
      <c r="J148" s="3">
        <v>8882</v>
      </c>
      <c r="K148" s="3">
        <v>155142</v>
      </c>
      <c r="L148" s="1" t="s">
        <v>26</v>
      </c>
      <c r="M148" s="41">
        <f>(F148+G148+H148)/Table23[[#This Row],[Impressions]]</f>
        <v>0.10512949426976577</v>
      </c>
    </row>
    <row r="149" spans="1:13" ht="17.399999999999999" customHeight="1" thickBot="1" x14ac:dyDescent="0.35">
      <c r="A149" s="1" t="s">
        <v>172</v>
      </c>
      <c r="B149" s="1" t="s">
        <v>1</v>
      </c>
      <c r="C149" s="2">
        <v>45699</v>
      </c>
      <c r="D149" s="1" t="s">
        <v>17</v>
      </c>
      <c r="E149" s="1" t="s">
        <v>60</v>
      </c>
      <c r="F149" s="3">
        <v>3619</v>
      </c>
      <c r="G149" s="3">
        <v>1376</v>
      </c>
      <c r="H149" s="3">
        <v>410</v>
      </c>
      <c r="I149" s="3">
        <v>2499</v>
      </c>
      <c r="J149" s="3">
        <v>58146</v>
      </c>
      <c r="K149" s="3">
        <v>52149</v>
      </c>
      <c r="L149" s="1" t="s">
        <v>4</v>
      </c>
      <c r="M149" s="41">
        <f>(F149+G149+H149)/Table23[[#This Row],[Impressions]]</f>
        <v>0.10364532397553165</v>
      </c>
    </row>
    <row r="150" spans="1:13" ht="17.399999999999999" customHeight="1" thickBot="1" x14ac:dyDescent="0.35">
      <c r="A150" s="1" t="s">
        <v>173</v>
      </c>
      <c r="B150" s="1" t="s">
        <v>1</v>
      </c>
      <c r="C150" s="5">
        <v>45911</v>
      </c>
      <c r="D150" s="1" t="s">
        <v>2</v>
      </c>
      <c r="E150" s="1" t="s">
        <v>3</v>
      </c>
      <c r="F150" s="3">
        <v>21901</v>
      </c>
      <c r="G150" s="3">
        <v>1308</v>
      </c>
      <c r="H150" s="3">
        <v>724</v>
      </c>
      <c r="I150" s="3">
        <v>2183</v>
      </c>
      <c r="J150" s="3">
        <v>15996</v>
      </c>
      <c r="K150" s="3">
        <v>230961</v>
      </c>
      <c r="L150" s="1" t="s">
        <v>26</v>
      </c>
      <c r="M150" s="41">
        <f>(F150+G150+H150)/Table23[[#This Row],[Impressions]]</f>
        <v>0.10362355549205277</v>
      </c>
    </row>
    <row r="151" spans="1:13" ht="17.399999999999999" customHeight="1" thickBot="1" x14ac:dyDescent="0.35">
      <c r="A151" s="1" t="s">
        <v>174</v>
      </c>
      <c r="B151" s="1" t="s">
        <v>1</v>
      </c>
      <c r="C151" s="2">
        <v>45722</v>
      </c>
      <c r="D151" s="1" t="s">
        <v>7</v>
      </c>
      <c r="E151" s="1" t="s">
        <v>58</v>
      </c>
      <c r="F151" s="3">
        <v>22119</v>
      </c>
      <c r="G151" s="3">
        <v>899</v>
      </c>
      <c r="H151" s="3">
        <v>642</v>
      </c>
      <c r="I151" s="3">
        <v>410</v>
      </c>
      <c r="J151" s="3">
        <v>49490</v>
      </c>
      <c r="K151" s="3">
        <v>229420</v>
      </c>
      <c r="L151" s="1" t="s">
        <v>9</v>
      </c>
      <c r="M151" s="41">
        <f>(F151+G151+H151)/Table23[[#This Row],[Impressions]]</f>
        <v>0.10312963124400662</v>
      </c>
    </row>
    <row r="152" spans="1:13" ht="17.399999999999999" customHeight="1" thickBot="1" x14ac:dyDescent="0.35">
      <c r="A152" s="1" t="s">
        <v>175</v>
      </c>
      <c r="B152" s="1" t="s">
        <v>1</v>
      </c>
      <c r="C152" s="5">
        <v>45920</v>
      </c>
      <c r="D152" s="1" t="s">
        <v>14</v>
      </c>
      <c r="E152" s="1" t="s">
        <v>8</v>
      </c>
      <c r="F152" s="3">
        <v>24422</v>
      </c>
      <c r="G152" s="3">
        <v>327</v>
      </c>
      <c r="H152" s="3">
        <v>481</v>
      </c>
      <c r="I152" s="3">
        <v>2371</v>
      </c>
      <c r="J152" s="3">
        <v>35340</v>
      </c>
      <c r="K152" s="3">
        <v>245244</v>
      </c>
      <c r="L152" s="1" t="s">
        <v>26</v>
      </c>
      <c r="M152" s="41">
        <f>(F152+G152+H152)/Table23[[#This Row],[Impressions]]</f>
        <v>0.10287713460879777</v>
      </c>
    </row>
    <row r="153" spans="1:13" ht="17.399999999999999" customHeight="1" thickBot="1" x14ac:dyDescent="0.35">
      <c r="A153" s="1" t="s">
        <v>176</v>
      </c>
      <c r="B153" s="1" t="s">
        <v>13</v>
      </c>
      <c r="C153" s="2">
        <v>45587</v>
      </c>
      <c r="D153" s="1" t="s">
        <v>17</v>
      </c>
      <c r="E153" s="1" t="s">
        <v>34</v>
      </c>
      <c r="F153" s="3">
        <v>7622</v>
      </c>
      <c r="G153" s="3">
        <v>529</v>
      </c>
      <c r="H153" s="3">
        <v>720</v>
      </c>
      <c r="I153" s="3">
        <v>1015</v>
      </c>
      <c r="J153" s="3">
        <v>71322</v>
      </c>
      <c r="K153" s="3">
        <v>86819</v>
      </c>
      <c r="L153" s="1" t="s">
        <v>18</v>
      </c>
      <c r="M153" s="41">
        <f>(F153+G153+H153)/Table23[[#This Row],[Impressions]]</f>
        <v>0.10217809465669957</v>
      </c>
    </row>
    <row r="154" spans="1:13" ht="17.399999999999999" customHeight="1" thickBot="1" x14ac:dyDescent="0.35">
      <c r="A154" s="1" t="s">
        <v>177</v>
      </c>
      <c r="B154" s="1" t="s">
        <v>22</v>
      </c>
      <c r="C154" s="2">
        <v>45704</v>
      </c>
      <c r="D154" s="1" t="s">
        <v>7</v>
      </c>
      <c r="E154" s="1" t="s">
        <v>15</v>
      </c>
      <c r="F154" s="3">
        <v>24195</v>
      </c>
      <c r="G154" s="3">
        <v>888</v>
      </c>
      <c r="H154" s="3">
        <v>165</v>
      </c>
      <c r="I154" s="3">
        <v>1559</v>
      </c>
      <c r="J154" s="3">
        <v>11596</v>
      </c>
      <c r="K154" s="3">
        <v>249988</v>
      </c>
      <c r="L154" s="1" t="s">
        <v>20</v>
      </c>
      <c r="M154" s="41">
        <f>(F154+G154+H154)/Table23[[#This Row],[Impressions]]</f>
        <v>0.10099684784869674</v>
      </c>
    </row>
    <row r="155" spans="1:13" ht="17.399999999999999" customHeight="1" thickBot="1" x14ac:dyDescent="0.35">
      <c r="A155" s="1" t="s">
        <v>178</v>
      </c>
      <c r="B155" s="1" t="s">
        <v>22</v>
      </c>
      <c r="C155" s="2">
        <v>45567</v>
      </c>
      <c r="D155" s="1" t="s">
        <v>2</v>
      </c>
      <c r="E155" s="1" t="s">
        <v>45</v>
      </c>
      <c r="F155" s="3">
        <v>9350</v>
      </c>
      <c r="G155" s="3">
        <v>1024</v>
      </c>
      <c r="H155" s="3">
        <v>550</v>
      </c>
      <c r="I155" s="3">
        <v>2123</v>
      </c>
      <c r="J155" s="3">
        <v>53916</v>
      </c>
      <c r="K155" s="3">
        <v>108785</v>
      </c>
      <c r="L155" s="1" t="s">
        <v>20</v>
      </c>
      <c r="M155" s="41">
        <f>(F155+G155+H155)/Table23[[#This Row],[Impressions]]</f>
        <v>0.10041825619340902</v>
      </c>
    </row>
    <row r="156" spans="1:13" ht="17.399999999999999" customHeight="1" thickBot="1" x14ac:dyDescent="0.35">
      <c r="A156" s="1" t="s">
        <v>179</v>
      </c>
      <c r="B156" s="1" t="s">
        <v>22</v>
      </c>
      <c r="C156" s="2">
        <v>45491</v>
      </c>
      <c r="D156" s="1" t="s">
        <v>2</v>
      </c>
      <c r="E156" s="1" t="s">
        <v>37</v>
      </c>
      <c r="F156" s="3">
        <v>11111</v>
      </c>
      <c r="G156" s="3">
        <v>1222</v>
      </c>
      <c r="H156" s="3">
        <v>367</v>
      </c>
      <c r="I156" s="3">
        <v>507</v>
      </c>
      <c r="J156" s="3">
        <v>14129</v>
      </c>
      <c r="K156" s="3">
        <v>127163</v>
      </c>
      <c r="L156" s="1" t="s">
        <v>18</v>
      </c>
      <c r="M156" s="41">
        <f>(F156+G156+H156)/Table23[[#This Row],[Impressions]]</f>
        <v>9.9871818060284834E-2</v>
      </c>
    </row>
    <row r="157" spans="1:13" ht="17.399999999999999" customHeight="1" thickBot="1" x14ac:dyDescent="0.35">
      <c r="A157" s="1" t="s">
        <v>180</v>
      </c>
      <c r="B157" s="1" t="s">
        <v>13</v>
      </c>
      <c r="C157" s="5">
        <v>45937</v>
      </c>
      <c r="D157" s="1" t="s">
        <v>17</v>
      </c>
      <c r="E157" s="1" t="s">
        <v>25</v>
      </c>
      <c r="F157" s="3">
        <v>19660</v>
      </c>
      <c r="G157" s="3">
        <v>1307</v>
      </c>
      <c r="H157" s="3">
        <v>310</v>
      </c>
      <c r="I157" s="3">
        <v>2802</v>
      </c>
      <c r="J157" s="3">
        <v>22171</v>
      </c>
      <c r="K157" s="3">
        <v>213359</v>
      </c>
      <c r="L157" s="1" t="s">
        <v>26</v>
      </c>
      <c r="M157" s="41">
        <f>(F157+G157+H157)/Table23[[#This Row],[Impressions]]</f>
        <v>9.9723939463533293E-2</v>
      </c>
    </row>
    <row r="158" spans="1:13" ht="17.399999999999999" customHeight="1" thickBot="1" x14ac:dyDescent="0.35">
      <c r="A158" s="1" t="s">
        <v>181</v>
      </c>
      <c r="B158" s="1" t="s">
        <v>13</v>
      </c>
      <c r="C158" s="2">
        <v>45727</v>
      </c>
      <c r="D158" s="1" t="s">
        <v>2</v>
      </c>
      <c r="E158" s="1" t="s">
        <v>58</v>
      </c>
      <c r="F158" s="3">
        <v>20222</v>
      </c>
      <c r="G158" s="3">
        <v>712</v>
      </c>
      <c r="H158" s="3">
        <v>604</v>
      </c>
      <c r="I158" s="3">
        <v>1272</v>
      </c>
      <c r="J158" s="3">
        <v>71598</v>
      </c>
      <c r="K158" s="3">
        <v>216422</v>
      </c>
      <c r="L158" s="1" t="s">
        <v>20</v>
      </c>
      <c r="M158" s="41">
        <f>(F158+G158+H158)/Table23[[#This Row],[Impressions]]</f>
        <v>9.9518533235992648E-2</v>
      </c>
    </row>
    <row r="159" spans="1:13" ht="17.399999999999999" customHeight="1" thickBot="1" x14ac:dyDescent="0.35">
      <c r="A159" s="1" t="s">
        <v>182</v>
      </c>
      <c r="B159" s="1" t="s">
        <v>13</v>
      </c>
      <c r="C159" s="5">
        <v>45927</v>
      </c>
      <c r="D159" s="1" t="s">
        <v>7</v>
      </c>
      <c r="E159" s="1" t="s">
        <v>29</v>
      </c>
      <c r="F159" s="3">
        <v>18521</v>
      </c>
      <c r="G159" s="3">
        <v>1027</v>
      </c>
      <c r="H159" s="3">
        <v>230</v>
      </c>
      <c r="I159" s="3">
        <v>1247</v>
      </c>
      <c r="J159" s="3">
        <v>39588</v>
      </c>
      <c r="K159" s="3">
        <v>200928</v>
      </c>
      <c r="L159" s="1" t="s">
        <v>26</v>
      </c>
      <c r="M159" s="41">
        <f>(F159+G159+H159)/Table23[[#This Row],[Impressions]]</f>
        <v>9.8433269628921807E-2</v>
      </c>
    </row>
    <row r="160" spans="1:13" ht="17.399999999999999" customHeight="1" thickBot="1" x14ac:dyDescent="0.35">
      <c r="A160" s="1" t="s">
        <v>183</v>
      </c>
      <c r="B160" s="1" t="s">
        <v>13</v>
      </c>
      <c r="C160" s="2">
        <v>45600</v>
      </c>
      <c r="D160" s="1" t="s">
        <v>2</v>
      </c>
      <c r="E160" s="1" t="s">
        <v>8</v>
      </c>
      <c r="F160" s="3">
        <v>14234</v>
      </c>
      <c r="G160" s="3">
        <v>1013</v>
      </c>
      <c r="H160" s="3">
        <v>437</v>
      </c>
      <c r="I160" s="3">
        <v>338</v>
      </c>
      <c r="J160" s="3">
        <v>67754</v>
      </c>
      <c r="K160" s="3">
        <v>160030</v>
      </c>
      <c r="L160" s="1" t="s">
        <v>20</v>
      </c>
      <c r="M160" s="41">
        <f>(F160+G160+H160)/Table23[[#This Row],[Impressions]]</f>
        <v>9.8006623758045364E-2</v>
      </c>
    </row>
    <row r="161" spans="1:13" ht="17.399999999999999" customHeight="1" thickBot="1" x14ac:dyDescent="0.35">
      <c r="A161" s="1" t="s">
        <v>184</v>
      </c>
      <c r="B161" s="1" t="s">
        <v>1</v>
      </c>
      <c r="C161" s="5">
        <v>45916</v>
      </c>
      <c r="D161" s="1" t="s">
        <v>14</v>
      </c>
      <c r="E161" s="1" t="s">
        <v>37</v>
      </c>
      <c r="F161" s="3">
        <v>16043</v>
      </c>
      <c r="G161" s="3">
        <v>595</v>
      </c>
      <c r="H161" s="3">
        <v>923</v>
      </c>
      <c r="I161" s="3">
        <v>1194</v>
      </c>
      <c r="J161" s="3">
        <v>52613</v>
      </c>
      <c r="K161" s="3">
        <v>179978</v>
      </c>
      <c r="L161" s="1" t="s">
        <v>26</v>
      </c>
      <c r="M161" s="41">
        <f>(F161+G161+H161)/Table23[[#This Row],[Impressions]]</f>
        <v>9.757303670448611E-2</v>
      </c>
    </row>
    <row r="162" spans="1:13" ht="17.399999999999999" customHeight="1" thickBot="1" x14ac:dyDescent="0.35">
      <c r="A162" s="1" t="s">
        <v>185</v>
      </c>
      <c r="B162" s="1" t="s">
        <v>13</v>
      </c>
      <c r="C162" s="2">
        <v>45610</v>
      </c>
      <c r="D162" s="1" t="s">
        <v>14</v>
      </c>
      <c r="E162" s="1" t="s">
        <v>34</v>
      </c>
      <c r="F162" s="3">
        <v>6300</v>
      </c>
      <c r="G162" s="3">
        <v>1213</v>
      </c>
      <c r="H162" s="3">
        <v>720</v>
      </c>
      <c r="I162" s="3">
        <v>1037</v>
      </c>
      <c r="J162" s="3">
        <v>39569</v>
      </c>
      <c r="K162" s="3">
        <v>85272</v>
      </c>
      <c r="L162" s="1" t="s">
        <v>9</v>
      </c>
      <c r="M162" s="41">
        <f>(F162+G162+H162)/Table23[[#This Row],[Impressions]]</f>
        <v>9.6549863964724647E-2</v>
      </c>
    </row>
    <row r="163" spans="1:13" ht="17.399999999999999" customHeight="1" thickBot="1" x14ac:dyDescent="0.35">
      <c r="A163" s="1" t="s">
        <v>186</v>
      </c>
      <c r="B163" s="1" t="s">
        <v>1</v>
      </c>
      <c r="C163" s="2">
        <v>45467</v>
      </c>
      <c r="D163" s="1" t="s">
        <v>7</v>
      </c>
      <c r="E163" s="1" t="s">
        <v>29</v>
      </c>
      <c r="F163" s="3">
        <v>5596</v>
      </c>
      <c r="G163" s="3">
        <v>1231</v>
      </c>
      <c r="H163" s="3">
        <v>473</v>
      </c>
      <c r="I163" s="3">
        <v>2251</v>
      </c>
      <c r="J163" s="3">
        <v>43705</v>
      </c>
      <c r="K163" s="3">
        <v>75643</v>
      </c>
      <c r="L163" s="1" t="s">
        <v>4</v>
      </c>
      <c r="M163" s="41">
        <f>(F163+G163+H163)/Table23[[#This Row],[Impressions]]</f>
        <v>9.6505955607260427E-2</v>
      </c>
    </row>
    <row r="164" spans="1:13" ht="17.399999999999999" customHeight="1" thickBot="1" x14ac:dyDescent="0.35">
      <c r="A164" s="1" t="s">
        <v>187</v>
      </c>
      <c r="B164" s="1" t="s">
        <v>22</v>
      </c>
      <c r="C164" s="2">
        <v>45524</v>
      </c>
      <c r="D164" s="1" t="s">
        <v>7</v>
      </c>
      <c r="E164" s="1" t="s">
        <v>8</v>
      </c>
      <c r="F164" s="3">
        <v>2846</v>
      </c>
      <c r="G164" s="3">
        <v>792</v>
      </c>
      <c r="H164" s="3">
        <v>902</v>
      </c>
      <c r="I164" s="3">
        <v>2469</v>
      </c>
      <c r="J164" s="3">
        <v>12130</v>
      </c>
      <c r="K164" s="3">
        <v>47151</v>
      </c>
      <c r="L164" s="1" t="s">
        <v>4</v>
      </c>
      <c r="M164" s="41">
        <f>(F164+G164+H164)/Table23[[#This Row],[Impressions]]</f>
        <v>9.6286399015927546E-2</v>
      </c>
    </row>
    <row r="165" spans="1:13" ht="17.399999999999999" customHeight="1" thickBot="1" x14ac:dyDescent="0.35">
      <c r="A165" s="1" t="s">
        <v>188</v>
      </c>
      <c r="B165" s="1" t="s">
        <v>13</v>
      </c>
      <c r="C165" s="2">
        <v>45626</v>
      </c>
      <c r="D165" s="1" t="s">
        <v>2</v>
      </c>
      <c r="E165" s="1" t="s">
        <v>15</v>
      </c>
      <c r="F165" s="3">
        <v>14763</v>
      </c>
      <c r="G165" s="3">
        <v>864</v>
      </c>
      <c r="H165" s="3">
        <v>336</v>
      </c>
      <c r="I165" s="3">
        <v>1493</v>
      </c>
      <c r="J165" s="3">
        <v>33310</v>
      </c>
      <c r="K165" s="3">
        <v>165932</v>
      </c>
      <c r="L165" s="1" t="s">
        <v>9</v>
      </c>
      <c r="M165" s="41">
        <f>(F165+G165+H165)/Table23[[#This Row],[Impressions]]</f>
        <v>9.6202058674637797E-2</v>
      </c>
    </row>
    <row r="166" spans="1:13" ht="17.399999999999999" customHeight="1" thickBot="1" x14ac:dyDescent="0.35">
      <c r="A166" s="1" t="s">
        <v>189</v>
      </c>
      <c r="B166" s="1" t="s">
        <v>13</v>
      </c>
      <c r="C166" s="2">
        <v>45752</v>
      </c>
      <c r="D166" s="1" t="s">
        <v>2</v>
      </c>
      <c r="E166" s="1" t="s">
        <v>25</v>
      </c>
      <c r="F166" s="3">
        <v>22384</v>
      </c>
      <c r="G166" s="3">
        <v>601</v>
      </c>
      <c r="H166" s="3">
        <v>943</v>
      </c>
      <c r="I166" s="3">
        <v>515</v>
      </c>
      <c r="J166" s="3">
        <v>41309</v>
      </c>
      <c r="K166" s="3">
        <v>249373</v>
      </c>
      <c r="L166" s="1" t="s">
        <v>4</v>
      </c>
      <c r="M166" s="41">
        <f>(F166+G166+H166)/Table23[[#This Row],[Impressions]]</f>
        <v>9.5952649244304716E-2</v>
      </c>
    </row>
    <row r="167" spans="1:13" ht="17.399999999999999" customHeight="1" thickBot="1" x14ac:dyDescent="0.35">
      <c r="A167" s="1" t="s">
        <v>190</v>
      </c>
      <c r="B167" s="1" t="s">
        <v>13</v>
      </c>
      <c r="C167" s="2">
        <v>45489</v>
      </c>
      <c r="D167" s="1" t="s">
        <v>7</v>
      </c>
      <c r="E167" s="1" t="s">
        <v>58</v>
      </c>
      <c r="F167" s="3">
        <v>8767</v>
      </c>
      <c r="G167" s="3">
        <v>974</v>
      </c>
      <c r="H167" s="3">
        <v>733</v>
      </c>
      <c r="I167" s="3">
        <v>1587</v>
      </c>
      <c r="J167" s="3">
        <v>74927</v>
      </c>
      <c r="K167" s="3">
        <v>113770</v>
      </c>
      <c r="L167" s="1" t="s">
        <v>4</v>
      </c>
      <c r="M167" s="41">
        <f>(F167+G167+H167)/Table23[[#This Row],[Impressions]]</f>
        <v>9.2062933989628198E-2</v>
      </c>
    </row>
    <row r="168" spans="1:13" ht="17.399999999999999" customHeight="1" thickBot="1" x14ac:dyDescent="0.35">
      <c r="A168" s="1" t="s">
        <v>191</v>
      </c>
      <c r="B168" s="1" t="s">
        <v>1</v>
      </c>
      <c r="C168" s="2">
        <v>45644</v>
      </c>
      <c r="D168" s="1" t="s">
        <v>7</v>
      </c>
      <c r="E168" s="1" t="s">
        <v>58</v>
      </c>
      <c r="F168" s="3">
        <v>14775</v>
      </c>
      <c r="G168" s="3">
        <v>1220</v>
      </c>
      <c r="H168" s="3">
        <v>640</v>
      </c>
      <c r="I168" s="3">
        <v>1547</v>
      </c>
      <c r="J168" s="3">
        <v>28527</v>
      </c>
      <c r="K168" s="3">
        <v>183660</v>
      </c>
      <c r="L168" s="1" t="s">
        <v>18</v>
      </c>
      <c r="M168" s="41">
        <f>(F168+G168+H168)/Table23[[#This Row],[Impressions]]</f>
        <v>9.0574975498203203E-2</v>
      </c>
    </row>
    <row r="169" spans="1:13" ht="17.399999999999999" customHeight="1" thickBot="1" x14ac:dyDescent="0.35">
      <c r="A169" s="1" t="s">
        <v>192</v>
      </c>
      <c r="B169" s="1" t="s">
        <v>13</v>
      </c>
      <c r="C169" s="2">
        <v>45621</v>
      </c>
      <c r="D169" s="1" t="s">
        <v>2</v>
      </c>
      <c r="E169" s="1" t="s">
        <v>58</v>
      </c>
      <c r="F169" s="3">
        <v>17385</v>
      </c>
      <c r="G169" s="3">
        <v>831</v>
      </c>
      <c r="H169" s="3">
        <v>568</v>
      </c>
      <c r="I169" s="3">
        <v>2227</v>
      </c>
      <c r="J169" s="3">
        <v>49351</v>
      </c>
      <c r="K169" s="3">
        <v>207450</v>
      </c>
      <c r="L169" s="1" t="s">
        <v>20</v>
      </c>
      <c r="M169" s="41">
        <f>(F169+G169+H169)/Table23[[#This Row],[Impressions]]</f>
        <v>9.0547119787900698E-2</v>
      </c>
    </row>
    <row r="170" spans="1:13" ht="17.399999999999999" customHeight="1" thickBot="1" x14ac:dyDescent="0.35">
      <c r="A170" s="1" t="s">
        <v>193</v>
      </c>
      <c r="B170" s="1" t="s">
        <v>22</v>
      </c>
      <c r="C170" s="2">
        <v>45488</v>
      </c>
      <c r="D170" s="1" t="s">
        <v>14</v>
      </c>
      <c r="E170" s="1" t="s">
        <v>15</v>
      </c>
      <c r="F170" s="3">
        <v>17034</v>
      </c>
      <c r="G170" s="3">
        <v>231</v>
      </c>
      <c r="H170" s="3">
        <v>290</v>
      </c>
      <c r="I170" s="3">
        <v>1387</v>
      </c>
      <c r="J170" s="3">
        <v>63550</v>
      </c>
      <c r="K170" s="3">
        <v>198280</v>
      </c>
      <c r="L170" s="1" t="s">
        <v>18</v>
      </c>
      <c r="M170" s="41">
        <f>(F170+G170+H170)/Table23[[#This Row],[Impressions]]</f>
        <v>8.8536413153116805E-2</v>
      </c>
    </row>
    <row r="171" spans="1:13" ht="17.399999999999999" customHeight="1" thickBot="1" x14ac:dyDescent="0.35">
      <c r="A171" s="1" t="s">
        <v>194</v>
      </c>
      <c r="B171" s="1" t="s">
        <v>1</v>
      </c>
      <c r="C171" s="5">
        <v>45903</v>
      </c>
      <c r="D171" s="1" t="s">
        <v>14</v>
      </c>
      <c r="E171" s="1" t="s">
        <v>29</v>
      </c>
      <c r="F171" s="3">
        <v>4779</v>
      </c>
      <c r="G171" s="3">
        <v>1110</v>
      </c>
      <c r="H171" s="3">
        <v>436</v>
      </c>
      <c r="I171" s="3">
        <v>1574</v>
      </c>
      <c r="J171" s="3">
        <v>77167</v>
      </c>
      <c r="K171" s="3">
        <v>71585</v>
      </c>
      <c r="L171" s="1" t="s">
        <v>26</v>
      </c>
      <c r="M171" s="41">
        <f>(F171+G171+H171)/Table23[[#This Row],[Impressions]]</f>
        <v>8.8356499266606131E-2</v>
      </c>
    </row>
    <row r="172" spans="1:13" ht="17.399999999999999" customHeight="1" thickBot="1" x14ac:dyDescent="0.35">
      <c r="A172" s="1" t="s">
        <v>195</v>
      </c>
      <c r="B172" s="1" t="s">
        <v>6</v>
      </c>
      <c r="C172" s="2">
        <v>45684</v>
      </c>
      <c r="D172" s="1" t="s">
        <v>17</v>
      </c>
      <c r="E172" s="1" t="s">
        <v>58</v>
      </c>
      <c r="F172" s="3">
        <v>8949</v>
      </c>
      <c r="G172" s="3">
        <v>1477</v>
      </c>
      <c r="H172" s="3">
        <v>424</v>
      </c>
      <c r="I172" s="3">
        <v>1030</v>
      </c>
      <c r="J172" s="3">
        <v>58052</v>
      </c>
      <c r="K172" s="3">
        <v>123310</v>
      </c>
      <c r="L172" s="1" t="s">
        <v>4</v>
      </c>
      <c r="M172" s="41">
        <f>(F172+G172+H172)/Table23[[#This Row],[Impressions]]</f>
        <v>8.7989619657773091E-2</v>
      </c>
    </row>
    <row r="173" spans="1:13" ht="17.399999999999999" customHeight="1" thickBot="1" x14ac:dyDescent="0.35">
      <c r="A173" s="1" t="s">
        <v>196</v>
      </c>
      <c r="B173" s="1" t="s">
        <v>1</v>
      </c>
      <c r="C173" s="2">
        <v>45586</v>
      </c>
      <c r="D173" s="1" t="s">
        <v>2</v>
      </c>
      <c r="E173" s="1" t="s">
        <v>15</v>
      </c>
      <c r="F173" s="3">
        <v>12015</v>
      </c>
      <c r="G173" s="3">
        <v>1196</v>
      </c>
      <c r="H173" s="3">
        <v>998</v>
      </c>
      <c r="I173" s="3">
        <v>1848</v>
      </c>
      <c r="J173" s="3">
        <v>44739</v>
      </c>
      <c r="K173" s="3">
        <v>161750</v>
      </c>
      <c r="L173" s="1" t="s">
        <v>18</v>
      </c>
      <c r="M173" s="41">
        <f>(F173+G173+H173)/Table23[[#This Row],[Impressions]]</f>
        <v>8.7845440494590421E-2</v>
      </c>
    </row>
    <row r="174" spans="1:13" ht="17.399999999999999" customHeight="1" thickBot="1" x14ac:dyDescent="0.35">
      <c r="A174" s="1" t="s">
        <v>197</v>
      </c>
      <c r="B174" s="1" t="s">
        <v>13</v>
      </c>
      <c r="C174" s="2">
        <v>45650</v>
      </c>
      <c r="D174" s="1" t="s">
        <v>14</v>
      </c>
      <c r="E174" s="1" t="s">
        <v>37</v>
      </c>
      <c r="F174" s="3">
        <v>10512</v>
      </c>
      <c r="G174" s="3">
        <v>1197</v>
      </c>
      <c r="H174" s="3">
        <v>544</v>
      </c>
      <c r="I174" s="3">
        <v>2012</v>
      </c>
      <c r="J174" s="3">
        <v>10245</v>
      </c>
      <c r="K174" s="3">
        <v>140102</v>
      </c>
      <c r="L174" s="1" t="s">
        <v>4</v>
      </c>
      <c r="M174" s="41">
        <f>(F174+G174+H174)/Table23[[#This Row],[Impressions]]</f>
        <v>8.745770938316369E-2</v>
      </c>
    </row>
    <row r="175" spans="1:13" ht="17.399999999999999" customHeight="1" thickBot="1" x14ac:dyDescent="0.35">
      <c r="A175" s="1" t="s">
        <v>198</v>
      </c>
      <c r="B175" s="1" t="s">
        <v>22</v>
      </c>
      <c r="C175" s="2">
        <v>45504</v>
      </c>
      <c r="D175" s="1" t="s">
        <v>17</v>
      </c>
      <c r="E175" s="1" t="s">
        <v>23</v>
      </c>
      <c r="F175" s="3">
        <v>13314</v>
      </c>
      <c r="G175" s="3">
        <v>274</v>
      </c>
      <c r="H175" s="3">
        <v>626</v>
      </c>
      <c r="I175" s="3">
        <v>2280</v>
      </c>
      <c r="J175" s="3">
        <v>14639</v>
      </c>
      <c r="K175" s="3">
        <v>163008</v>
      </c>
      <c r="L175" s="1" t="s">
        <v>9</v>
      </c>
      <c r="M175" s="41">
        <f>(F175+G175+H175)/Table23[[#This Row],[Impressions]]</f>
        <v>8.7198174322732622E-2</v>
      </c>
    </row>
    <row r="176" spans="1:13" ht="17.399999999999999" customHeight="1" thickBot="1" x14ac:dyDescent="0.35">
      <c r="A176" s="1" t="s">
        <v>199</v>
      </c>
      <c r="B176" s="1" t="s">
        <v>1</v>
      </c>
      <c r="C176" s="5">
        <v>45910</v>
      </c>
      <c r="D176" s="1" t="s">
        <v>17</v>
      </c>
      <c r="E176" s="1" t="s">
        <v>37</v>
      </c>
      <c r="F176" s="3">
        <v>9266</v>
      </c>
      <c r="G176" s="3">
        <v>999</v>
      </c>
      <c r="H176" s="3">
        <v>928</v>
      </c>
      <c r="I176" s="3">
        <v>2700</v>
      </c>
      <c r="J176" s="3">
        <v>12264</v>
      </c>
      <c r="K176" s="3">
        <v>128397</v>
      </c>
      <c r="L176" s="1" t="s">
        <v>26</v>
      </c>
      <c r="M176" s="41">
        <f>(F176+G176+H176)/Table23[[#This Row],[Impressions]]</f>
        <v>8.7174933993784898E-2</v>
      </c>
    </row>
    <row r="177" spans="1:13" ht="17.399999999999999" customHeight="1" thickBot="1" x14ac:dyDescent="0.35">
      <c r="A177" s="1" t="s">
        <v>200</v>
      </c>
      <c r="B177" s="1" t="s">
        <v>13</v>
      </c>
      <c r="C177" s="5">
        <v>45912</v>
      </c>
      <c r="D177" s="1" t="s">
        <v>7</v>
      </c>
      <c r="E177" s="1" t="s">
        <v>34</v>
      </c>
      <c r="F177" s="3">
        <v>17158</v>
      </c>
      <c r="G177" s="3">
        <v>1192</v>
      </c>
      <c r="H177" s="3">
        <v>262</v>
      </c>
      <c r="I177" s="3">
        <v>2016</v>
      </c>
      <c r="J177" s="3">
        <v>28771</v>
      </c>
      <c r="K177" s="3">
        <v>216037</v>
      </c>
      <c r="L177" s="1" t="s">
        <v>26</v>
      </c>
      <c r="M177" s="41">
        <f>(F177+G177+H177)/Table23[[#This Row],[Impressions]]</f>
        <v>8.6151909163708074E-2</v>
      </c>
    </row>
    <row r="178" spans="1:13" ht="17.399999999999999" customHeight="1" thickBot="1" x14ac:dyDescent="0.35">
      <c r="A178" s="1" t="s">
        <v>201</v>
      </c>
      <c r="B178" s="1" t="s">
        <v>22</v>
      </c>
      <c r="C178" s="2">
        <v>45521</v>
      </c>
      <c r="D178" s="1" t="s">
        <v>2</v>
      </c>
      <c r="E178" s="1" t="s">
        <v>8</v>
      </c>
      <c r="F178" s="3">
        <v>19154</v>
      </c>
      <c r="G178" s="3">
        <v>1064</v>
      </c>
      <c r="H178" s="3">
        <v>650</v>
      </c>
      <c r="I178" s="3">
        <v>747</v>
      </c>
      <c r="J178" s="3">
        <v>42667</v>
      </c>
      <c r="K178" s="3">
        <v>242332</v>
      </c>
      <c r="L178" s="1" t="s">
        <v>20</v>
      </c>
      <c r="M178" s="41">
        <f>(F178+G178+H178)/Table23[[#This Row],[Impressions]]</f>
        <v>8.6113266097750191E-2</v>
      </c>
    </row>
    <row r="179" spans="1:13" ht="17.399999999999999" customHeight="1" thickBot="1" x14ac:dyDescent="0.35">
      <c r="A179" s="1" t="s">
        <v>202</v>
      </c>
      <c r="B179" s="1" t="s">
        <v>6</v>
      </c>
      <c r="C179" s="2">
        <v>45460</v>
      </c>
      <c r="D179" s="1" t="s">
        <v>17</v>
      </c>
      <c r="E179" s="1" t="s">
        <v>11</v>
      </c>
      <c r="F179" s="3">
        <v>6976</v>
      </c>
      <c r="G179" s="3">
        <v>1320</v>
      </c>
      <c r="H179" s="3">
        <v>393</v>
      </c>
      <c r="I179" s="3">
        <v>2285</v>
      </c>
      <c r="J179" s="3">
        <v>14049</v>
      </c>
      <c r="K179" s="3">
        <v>101367</v>
      </c>
      <c r="L179" s="1" t="s">
        <v>18</v>
      </c>
      <c r="M179" s="41">
        <f>(F179+G179+H179)/Table23[[#This Row],[Impressions]]</f>
        <v>8.5718231771681114E-2</v>
      </c>
    </row>
    <row r="180" spans="1:13" ht="17.399999999999999" customHeight="1" thickBot="1" x14ac:dyDescent="0.35">
      <c r="A180" s="1" t="s">
        <v>203</v>
      </c>
      <c r="B180" s="1" t="s">
        <v>1</v>
      </c>
      <c r="C180" s="2">
        <v>45698</v>
      </c>
      <c r="D180" s="1" t="s">
        <v>17</v>
      </c>
      <c r="E180" s="1" t="s">
        <v>29</v>
      </c>
      <c r="F180" s="3">
        <v>16309</v>
      </c>
      <c r="G180" s="3">
        <v>1449</v>
      </c>
      <c r="H180" s="3">
        <v>838</v>
      </c>
      <c r="I180" s="3">
        <v>2434</v>
      </c>
      <c r="J180" s="3">
        <v>2940</v>
      </c>
      <c r="K180" s="3">
        <v>217953</v>
      </c>
      <c r="L180" s="1" t="s">
        <v>9</v>
      </c>
      <c r="M180" s="41">
        <f>(F180+G180+H180)/Table23[[#This Row],[Impressions]]</f>
        <v>8.5321147219813445E-2</v>
      </c>
    </row>
    <row r="181" spans="1:13" ht="17.399999999999999" customHeight="1" thickBot="1" x14ac:dyDescent="0.35">
      <c r="A181" s="1" t="s">
        <v>204</v>
      </c>
      <c r="B181" s="1" t="s">
        <v>1</v>
      </c>
      <c r="C181" s="5">
        <v>45909</v>
      </c>
      <c r="D181" s="1" t="s">
        <v>2</v>
      </c>
      <c r="E181" s="1" t="s">
        <v>25</v>
      </c>
      <c r="F181" s="3">
        <v>15772</v>
      </c>
      <c r="G181" s="3">
        <v>288</v>
      </c>
      <c r="H181" s="3">
        <v>520</v>
      </c>
      <c r="I181" s="3">
        <v>1585</v>
      </c>
      <c r="J181" s="3">
        <v>59182</v>
      </c>
      <c r="K181" s="3">
        <v>194351</v>
      </c>
      <c r="L181" s="1" t="s">
        <v>26</v>
      </c>
      <c r="M181" s="41">
        <f>(F181+G181+H181)/Table23[[#This Row],[Impressions]]</f>
        <v>8.5309568769905988E-2</v>
      </c>
    </row>
    <row r="182" spans="1:13" ht="17.399999999999999" customHeight="1" thickBot="1" x14ac:dyDescent="0.35">
      <c r="A182" s="1" t="s">
        <v>205</v>
      </c>
      <c r="B182" s="1" t="s">
        <v>22</v>
      </c>
      <c r="C182" s="2">
        <v>45778</v>
      </c>
      <c r="D182" s="1" t="s">
        <v>7</v>
      </c>
      <c r="E182" s="1" t="s">
        <v>58</v>
      </c>
      <c r="F182" s="3">
        <v>10258</v>
      </c>
      <c r="G182" s="3">
        <v>527</v>
      </c>
      <c r="H182" s="3">
        <v>854</v>
      </c>
      <c r="I182" s="3">
        <v>2068</v>
      </c>
      <c r="J182" s="3">
        <v>45632</v>
      </c>
      <c r="K182" s="3">
        <v>136546</v>
      </c>
      <c r="L182" s="1" t="s">
        <v>18</v>
      </c>
      <c r="M182" s="41">
        <f>(F182+G182+H182)/Table23[[#This Row],[Impressions]]</f>
        <v>8.5238674146441498E-2</v>
      </c>
    </row>
    <row r="183" spans="1:13" ht="17.399999999999999" customHeight="1" thickBot="1" x14ac:dyDescent="0.35">
      <c r="A183" s="1" t="s">
        <v>206</v>
      </c>
      <c r="B183" s="1" t="s">
        <v>22</v>
      </c>
      <c r="C183" s="2">
        <v>45750</v>
      </c>
      <c r="D183" s="1" t="s">
        <v>14</v>
      </c>
      <c r="E183" s="1" t="s">
        <v>60</v>
      </c>
      <c r="F183" s="3">
        <v>10837</v>
      </c>
      <c r="G183" s="3">
        <v>1004</v>
      </c>
      <c r="H183" s="3">
        <v>922</v>
      </c>
      <c r="I183" s="3">
        <v>1108</v>
      </c>
      <c r="J183" s="3">
        <v>36807</v>
      </c>
      <c r="K183" s="3">
        <v>150350</v>
      </c>
      <c r="L183" s="1" t="s">
        <v>20</v>
      </c>
      <c r="M183" s="41">
        <f>(F183+G183+H183)/Table23[[#This Row],[Impressions]]</f>
        <v>8.4888593282341204E-2</v>
      </c>
    </row>
    <row r="184" spans="1:13" ht="17.399999999999999" customHeight="1" thickBot="1" x14ac:dyDescent="0.35">
      <c r="A184" s="1" t="s">
        <v>207</v>
      </c>
      <c r="B184" s="1" t="s">
        <v>22</v>
      </c>
      <c r="C184" s="2">
        <v>45486</v>
      </c>
      <c r="D184" s="1" t="s">
        <v>2</v>
      </c>
      <c r="E184" s="1" t="s">
        <v>25</v>
      </c>
      <c r="F184" s="3">
        <v>18639</v>
      </c>
      <c r="G184" s="3">
        <v>1360</v>
      </c>
      <c r="H184" s="3">
        <v>898</v>
      </c>
      <c r="I184" s="3">
        <v>2011</v>
      </c>
      <c r="J184" s="3">
        <v>42841</v>
      </c>
      <c r="K184" s="3">
        <v>247779</v>
      </c>
      <c r="L184" s="1" t="s">
        <v>9</v>
      </c>
      <c r="M184" s="41">
        <f>(F184+G184+H184)/Table23[[#This Row],[Impressions]]</f>
        <v>8.4337252148083575E-2</v>
      </c>
    </row>
    <row r="185" spans="1:13" ht="17.399999999999999" customHeight="1" thickBot="1" x14ac:dyDescent="0.35">
      <c r="A185" s="1" t="s">
        <v>208</v>
      </c>
      <c r="B185" s="1" t="s">
        <v>6</v>
      </c>
      <c r="C185" s="5">
        <v>45925</v>
      </c>
      <c r="D185" s="1" t="s">
        <v>2</v>
      </c>
      <c r="E185" s="1" t="s">
        <v>45</v>
      </c>
      <c r="F185" s="3">
        <v>8371</v>
      </c>
      <c r="G185" s="3">
        <v>960</v>
      </c>
      <c r="H185" s="3">
        <v>548</v>
      </c>
      <c r="I185" s="3">
        <v>2936</v>
      </c>
      <c r="J185" s="3">
        <v>82543</v>
      </c>
      <c r="K185" s="3">
        <v>119973</v>
      </c>
      <c r="L185" s="1" t="s">
        <v>26</v>
      </c>
      <c r="M185" s="41">
        <f>(F185+G185+H185)/Table23[[#This Row],[Impressions]]</f>
        <v>8.2343527293641069E-2</v>
      </c>
    </row>
    <row r="186" spans="1:13" ht="17.399999999999999" customHeight="1" thickBot="1" x14ac:dyDescent="0.35">
      <c r="A186" s="1" t="s">
        <v>209</v>
      </c>
      <c r="B186" s="1" t="s">
        <v>22</v>
      </c>
      <c r="C186" s="2">
        <v>45600</v>
      </c>
      <c r="D186" s="1" t="s">
        <v>14</v>
      </c>
      <c r="E186" s="1" t="s">
        <v>15</v>
      </c>
      <c r="F186" s="3">
        <v>14015</v>
      </c>
      <c r="G186" s="3">
        <v>978</v>
      </c>
      <c r="H186" s="3">
        <v>196</v>
      </c>
      <c r="I186" s="3">
        <v>2744</v>
      </c>
      <c r="J186" s="3">
        <v>20190</v>
      </c>
      <c r="K186" s="3">
        <v>186470</v>
      </c>
      <c r="L186" s="1" t="s">
        <v>20</v>
      </c>
      <c r="M186" s="41">
        <f>(F186+G186+H186)/Table23[[#This Row],[Impressions]]</f>
        <v>8.1455462004611998E-2</v>
      </c>
    </row>
    <row r="187" spans="1:13" ht="17.399999999999999" customHeight="1" thickBot="1" x14ac:dyDescent="0.35">
      <c r="A187" s="1" t="s">
        <v>210</v>
      </c>
      <c r="B187" s="1" t="s">
        <v>13</v>
      </c>
      <c r="C187" s="5">
        <v>45939</v>
      </c>
      <c r="D187" s="1" t="s">
        <v>17</v>
      </c>
      <c r="E187" s="1" t="s">
        <v>34</v>
      </c>
      <c r="F187" s="3">
        <v>18748</v>
      </c>
      <c r="G187" s="3">
        <v>634</v>
      </c>
      <c r="H187" s="3">
        <v>400</v>
      </c>
      <c r="I187" s="3">
        <v>1667</v>
      </c>
      <c r="J187" s="3">
        <v>75813</v>
      </c>
      <c r="K187" s="3">
        <v>244456</v>
      </c>
      <c r="L187" s="1" t="s">
        <v>26</v>
      </c>
      <c r="M187" s="41">
        <f>(F187+G187+H187)/Table23[[#This Row],[Impressions]]</f>
        <v>8.0922538207284747E-2</v>
      </c>
    </row>
    <row r="188" spans="1:13" ht="17.399999999999999" customHeight="1" thickBot="1" x14ac:dyDescent="0.35">
      <c r="A188" s="1" t="s">
        <v>211</v>
      </c>
      <c r="B188" s="1" t="s">
        <v>1</v>
      </c>
      <c r="C188" s="5">
        <v>45938</v>
      </c>
      <c r="D188" s="1" t="s">
        <v>7</v>
      </c>
      <c r="E188" s="1" t="s">
        <v>15</v>
      </c>
      <c r="F188" s="3">
        <v>17745</v>
      </c>
      <c r="G188" s="3">
        <v>414</v>
      </c>
      <c r="H188" s="3">
        <v>563</v>
      </c>
      <c r="I188" s="3">
        <v>2733</v>
      </c>
      <c r="J188" s="3">
        <v>995</v>
      </c>
      <c r="K188" s="3">
        <v>231648</v>
      </c>
      <c r="L188" s="1" t="s">
        <v>26</v>
      </c>
      <c r="M188" s="41">
        <f>(F188+G188+H188)/Table23[[#This Row],[Impressions]]</f>
        <v>8.0820900676889074E-2</v>
      </c>
    </row>
    <row r="189" spans="1:13" ht="17.399999999999999" customHeight="1" thickBot="1" x14ac:dyDescent="0.35">
      <c r="A189" s="1" t="s">
        <v>212</v>
      </c>
      <c r="B189" s="1" t="s">
        <v>6</v>
      </c>
      <c r="C189" s="2">
        <v>45719</v>
      </c>
      <c r="D189" s="1" t="s">
        <v>2</v>
      </c>
      <c r="E189" s="1" t="s">
        <v>11</v>
      </c>
      <c r="F189" s="3">
        <v>9561</v>
      </c>
      <c r="G189" s="3">
        <v>642</v>
      </c>
      <c r="H189" s="3">
        <v>581</v>
      </c>
      <c r="I189" s="3">
        <v>2572</v>
      </c>
      <c r="J189" s="3">
        <v>38552</v>
      </c>
      <c r="K189" s="3">
        <v>133680</v>
      </c>
      <c r="L189" s="1" t="s">
        <v>4</v>
      </c>
      <c r="M189" s="41">
        <f>(F189+G189+H189)/Table23[[#This Row],[Impressions]]</f>
        <v>8.0670257330939563E-2</v>
      </c>
    </row>
    <row r="190" spans="1:13" ht="17.399999999999999" customHeight="1" thickBot="1" x14ac:dyDescent="0.35">
      <c r="A190" s="1" t="s">
        <v>213</v>
      </c>
      <c r="B190" s="1" t="s">
        <v>22</v>
      </c>
      <c r="C190" s="2">
        <v>45518</v>
      </c>
      <c r="D190" s="1" t="s">
        <v>17</v>
      </c>
      <c r="E190" s="1" t="s">
        <v>60</v>
      </c>
      <c r="F190" s="3">
        <v>10150</v>
      </c>
      <c r="G190" s="3">
        <v>526</v>
      </c>
      <c r="H190" s="3">
        <v>888</v>
      </c>
      <c r="I190" s="3">
        <v>1313</v>
      </c>
      <c r="J190" s="3">
        <v>51605</v>
      </c>
      <c r="K190" s="3">
        <v>143409</v>
      </c>
      <c r="L190" s="1" t="s">
        <v>4</v>
      </c>
      <c r="M190" s="41">
        <f>(F190+G190+H190)/Table23[[#This Row],[Impressions]]</f>
        <v>8.0636501195880311E-2</v>
      </c>
    </row>
    <row r="191" spans="1:13" ht="17.399999999999999" customHeight="1" thickBot="1" x14ac:dyDescent="0.35">
      <c r="A191" s="1" t="s">
        <v>214</v>
      </c>
      <c r="B191" s="1" t="s">
        <v>6</v>
      </c>
      <c r="C191" s="5">
        <v>45944</v>
      </c>
      <c r="D191" s="1" t="s">
        <v>17</v>
      </c>
      <c r="E191" s="1" t="s">
        <v>45</v>
      </c>
      <c r="F191" s="3">
        <v>9673</v>
      </c>
      <c r="G191" s="3">
        <v>393</v>
      </c>
      <c r="H191" s="3">
        <v>846</v>
      </c>
      <c r="I191" s="3">
        <v>1028</v>
      </c>
      <c r="J191" s="3">
        <v>55556</v>
      </c>
      <c r="K191" s="3">
        <v>136652</v>
      </c>
      <c r="L191" s="1" t="s">
        <v>26</v>
      </c>
      <c r="M191" s="41">
        <f>(F191+G191+H191)/Table23[[#This Row],[Impressions]]</f>
        <v>7.9852471972601938E-2</v>
      </c>
    </row>
    <row r="192" spans="1:13" ht="17.399999999999999" customHeight="1" thickBot="1" x14ac:dyDescent="0.35">
      <c r="A192" s="1" t="s">
        <v>215</v>
      </c>
      <c r="B192" s="1" t="s">
        <v>22</v>
      </c>
      <c r="C192" s="2">
        <v>45455</v>
      </c>
      <c r="D192" s="1" t="s">
        <v>7</v>
      </c>
      <c r="E192" s="1" t="s">
        <v>29</v>
      </c>
      <c r="F192" s="3">
        <v>17679</v>
      </c>
      <c r="G192" s="3">
        <v>690</v>
      </c>
      <c r="H192" s="3">
        <v>451</v>
      </c>
      <c r="I192" s="3">
        <v>2195</v>
      </c>
      <c r="J192" s="3">
        <v>4390</v>
      </c>
      <c r="K192" s="3">
        <v>235804</v>
      </c>
      <c r="L192" s="1" t="s">
        <v>18</v>
      </c>
      <c r="M192" s="41">
        <f>(F192+G192+H192)/Table23[[#This Row],[Impressions]]</f>
        <v>7.9812047293514959E-2</v>
      </c>
    </row>
    <row r="193" spans="1:13" ht="17.399999999999999" customHeight="1" thickBot="1" x14ac:dyDescent="0.35">
      <c r="A193" s="1" t="s">
        <v>216</v>
      </c>
      <c r="B193" s="1" t="s">
        <v>1</v>
      </c>
      <c r="C193" s="2">
        <v>45569</v>
      </c>
      <c r="D193" s="1" t="s">
        <v>2</v>
      </c>
      <c r="E193" s="1" t="s">
        <v>15</v>
      </c>
      <c r="F193" s="3">
        <v>15746</v>
      </c>
      <c r="G193" s="3">
        <v>258</v>
      </c>
      <c r="H193" s="3">
        <v>839</v>
      </c>
      <c r="I193" s="3">
        <v>2656</v>
      </c>
      <c r="J193" s="3">
        <v>66614</v>
      </c>
      <c r="K193" s="3">
        <v>213724</v>
      </c>
      <c r="L193" s="1" t="s">
        <v>20</v>
      </c>
      <c r="M193" s="41">
        <f>(F193+G193+H193)/Table23[[#This Row],[Impressions]]</f>
        <v>7.8807246729426739E-2</v>
      </c>
    </row>
    <row r="194" spans="1:13" ht="17.399999999999999" customHeight="1" thickBot="1" x14ac:dyDescent="0.35">
      <c r="A194" s="1" t="s">
        <v>217</v>
      </c>
      <c r="B194" s="1" t="s">
        <v>6</v>
      </c>
      <c r="C194" s="2">
        <v>45465</v>
      </c>
      <c r="D194" s="1" t="s">
        <v>14</v>
      </c>
      <c r="E194" s="1" t="s">
        <v>25</v>
      </c>
      <c r="F194" s="3">
        <v>16430</v>
      </c>
      <c r="G194" s="3">
        <v>488</v>
      </c>
      <c r="H194" s="3">
        <v>514</v>
      </c>
      <c r="I194" s="3">
        <v>1436</v>
      </c>
      <c r="J194" s="3">
        <v>30059</v>
      </c>
      <c r="K194" s="3">
        <v>223305</v>
      </c>
      <c r="L194" s="1" t="s">
        <v>9</v>
      </c>
      <c r="M194" s="41">
        <f>(F194+G194+H194)/Table23[[#This Row],[Impressions]]</f>
        <v>7.8063634938760881E-2</v>
      </c>
    </row>
    <row r="195" spans="1:13" ht="17.399999999999999" customHeight="1" thickBot="1" x14ac:dyDescent="0.35">
      <c r="A195" s="1" t="s">
        <v>218</v>
      </c>
      <c r="B195" s="1" t="s">
        <v>6</v>
      </c>
      <c r="C195" s="2">
        <v>45753</v>
      </c>
      <c r="D195" s="1" t="s">
        <v>7</v>
      </c>
      <c r="E195" s="1" t="s">
        <v>45</v>
      </c>
      <c r="F195" s="3">
        <v>8238</v>
      </c>
      <c r="G195" s="3">
        <v>766</v>
      </c>
      <c r="H195" s="3">
        <v>235</v>
      </c>
      <c r="I195" s="3">
        <v>1273</v>
      </c>
      <c r="J195" s="3">
        <v>4706</v>
      </c>
      <c r="K195" s="3">
        <v>119141</v>
      </c>
      <c r="L195" s="1" t="s">
        <v>9</v>
      </c>
      <c r="M195" s="41">
        <f>(F195+G195+H195)/Table23[[#This Row],[Impressions]]</f>
        <v>7.7546772311798629E-2</v>
      </c>
    </row>
    <row r="196" spans="1:13" ht="17.399999999999999" customHeight="1" thickBot="1" x14ac:dyDescent="0.35">
      <c r="A196" s="1" t="s">
        <v>219</v>
      </c>
      <c r="B196" s="1" t="s">
        <v>6</v>
      </c>
      <c r="C196" s="2">
        <v>45583</v>
      </c>
      <c r="D196" s="1" t="s">
        <v>17</v>
      </c>
      <c r="E196" s="1" t="s">
        <v>29</v>
      </c>
      <c r="F196" s="3">
        <v>6892</v>
      </c>
      <c r="G196" s="3">
        <v>1184</v>
      </c>
      <c r="H196" s="3">
        <v>925</v>
      </c>
      <c r="I196" s="3">
        <v>1062</v>
      </c>
      <c r="J196" s="3">
        <v>75008</v>
      </c>
      <c r="K196" s="3">
        <v>116260</v>
      </c>
      <c r="L196" s="1" t="s">
        <v>18</v>
      </c>
      <c r="M196" s="41">
        <f>(F196+G196+H196)/Table23[[#This Row],[Impressions]]</f>
        <v>7.7421297092723204E-2</v>
      </c>
    </row>
    <row r="197" spans="1:13" ht="17.399999999999999" customHeight="1" thickBot="1" x14ac:dyDescent="0.35">
      <c r="A197" s="1" t="s">
        <v>220</v>
      </c>
      <c r="B197" s="1" t="s">
        <v>13</v>
      </c>
      <c r="C197" s="2">
        <v>45622</v>
      </c>
      <c r="D197" s="1" t="s">
        <v>2</v>
      </c>
      <c r="E197" s="1" t="s">
        <v>3</v>
      </c>
      <c r="F197" s="3">
        <v>14607</v>
      </c>
      <c r="G197" s="3">
        <v>1458</v>
      </c>
      <c r="H197" s="3">
        <v>478</v>
      </c>
      <c r="I197" s="3">
        <v>334</v>
      </c>
      <c r="J197" s="3">
        <v>49257</v>
      </c>
      <c r="K197" s="3">
        <v>214668</v>
      </c>
      <c r="L197" s="1" t="s">
        <v>9</v>
      </c>
      <c r="M197" s="41">
        <f>(F197+G197+H197)/Table23[[#This Row],[Impressions]]</f>
        <v>7.7063185942944451E-2</v>
      </c>
    </row>
    <row r="198" spans="1:13" ht="17.399999999999999" customHeight="1" thickBot="1" x14ac:dyDescent="0.35">
      <c r="A198" s="1" t="s">
        <v>221</v>
      </c>
      <c r="B198" s="1" t="s">
        <v>6</v>
      </c>
      <c r="C198" s="2">
        <v>45690</v>
      </c>
      <c r="D198" s="1" t="s">
        <v>17</v>
      </c>
      <c r="E198" s="1" t="s">
        <v>23</v>
      </c>
      <c r="F198" s="3">
        <v>12136</v>
      </c>
      <c r="G198" s="3">
        <v>1117</v>
      </c>
      <c r="H198" s="3">
        <v>834</v>
      </c>
      <c r="I198" s="3">
        <v>892</v>
      </c>
      <c r="J198" s="3">
        <v>24675</v>
      </c>
      <c r="K198" s="3">
        <v>183273</v>
      </c>
      <c r="L198" s="1" t="s">
        <v>20</v>
      </c>
      <c r="M198" s="41">
        <f>(F198+G198+H198)/Table23[[#This Row],[Impressions]]</f>
        <v>7.6863476889667326E-2</v>
      </c>
    </row>
    <row r="199" spans="1:13" ht="17.399999999999999" customHeight="1" thickBot="1" x14ac:dyDescent="0.35">
      <c r="A199" s="1" t="s">
        <v>222</v>
      </c>
      <c r="B199" s="1" t="s">
        <v>22</v>
      </c>
      <c r="C199" s="2">
        <v>45753</v>
      </c>
      <c r="D199" s="1" t="s">
        <v>14</v>
      </c>
      <c r="E199" s="1" t="s">
        <v>37</v>
      </c>
      <c r="F199" s="3">
        <v>14941</v>
      </c>
      <c r="G199" s="3">
        <v>1424</v>
      </c>
      <c r="H199" s="3">
        <v>238</v>
      </c>
      <c r="I199" s="3">
        <v>1054</v>
      </c>
      <c r="J199" s="3">
        <v>20516</v>
      </c>
      <c r="K199" s="3">
        <v>216048</v>
      </c>
      <c r="L199" s="1" t="s">
        <v>18</v>
      </c>
      <c r="M199" s="41">
        <f>(F199+G199+H199)/Table23[[#This Row],[Impressions]]</f>
        <v>7.6848663260016298E-2</v>
      </c>
    </row>
    <row r="200" spans="1:13" ht="17.399999999999999" customHeight="1" thickBot="1" x14ac:dyDescent="0.35">
      <c r="A200" s="1" t="s">
        <v>223</v>
      </c>
      <c r="B200" s="1" t="s">
        <v>1</v>
      </c>
      <c r="C200" s="2">
        <v>45734</v>
      </c>
      <c r="D200" s="1" t="s">
        <v>14</v>
      </c>
      <c r="E200" s="1" t="s">
        <v>25</v>
      </c>
      <c r="F200" s="3">
        <v>5818</v>
      </c>
      <c r="G200" s="3">
        <v>1252</v>
      </c>
      <c r="H200" s="3">
        <v>687</v>
      </c>
      <c r="I200" s="3">
        <v>2300</v>
      </c>
      <c r="J200" s="3">
        <v>25081</v>
      </c>
      <c r="K200" s="3">
        <v>101212</v>
      </c>
      <c r="L200" s="1" t="s">
        <v>18</v>
      </c>
      <c r="M200" s="41">
        <f>(F200+G200+H200)/Table23[[#This Row],[Impressions]]</f>
        <v>7.6641109749832043E-2</v>
      </c>
    </row>
    <row r="201" spans="1:13" ht="17.399999999999999" customHeight="1" thickBot="1" x14ac:dyDescent="0.35">
      <c r="A201" s="1" t="s">
        <v>224</v>
      </c>
      <c r="B201" s="1" t="s">
        <v>6</v>
      </c>
      <c r="C201" s="2">
        <v>45570</v>
      </c>
      <c r="D201" s="1" t="s">
        <v>17</v>
      </c>
      <c r="E201" s="1" t="s">
        <v>29</v>
      </c>
      <c r="F201" s="3">
        <v>16388</v>
      </c>
      <c r="G201" s="3">
        <v>1208</v>
      </c>
      <c r="H201" s="3">
        <v>417</v>
      </c>
      <c r="I201" s="3">
        <v>2306</v>
      </c>
      <c r="J201" s="3">
        <v>16865</v>
      </c>
      <c r="K201" s="3">
        <v>236733</v>
      </c>
      <c r="L201" s="1" t="s">
        <v>4</v>
      </c>
      <c r="M201" s="41">
        <f>(F201+G201+H201)/Table23[[#This Row],[Impressions]]</f>
        <v>7.6089940988370866E-2</v>
      </c>
    </row>
    <row r="202" spans="1:13" ht="17.399999999999999" customHeight="1" thickBot="1" x14ac:dyDescent="0.35">
      <c r="A202" s="1" t="s">
        <v>225</v>
      </c>
      <c r="B202" s="1" t="s">
        <v>6</v>
      </c>
      <c r="C202" s="5">
        <v>45924</v>
      </c>
      <c r="D202" s="1" t="s">
        <v>14</v>
      </c>
      <c r="E202" s="1" t="s">
        <v>37</v>
      </c>
      <c r="F202" s="3">
        <v>11795</v>
      </c>
      <c r="G202" s="3">
        <v>958</v>
      </c>
      <c r="H202" s="3">
        <v>814</v>
      </c>
      <c r="I202" s="3">
        <v>301</v>
      </c>
      <c r="J202" s="3">
        <v>12564</v>
      </c>
      <c r="K202" s="3">
        <v>179999</v>
      </c>
      <c r="L202" s="1" t="s">
        <v>26</v>
      </c>
      <c r="M202" s="41">
        <f>(F202+G202+H202)/Table23[[#This Row],[Impressions]]</f>
        <v>7.5372640959116444E-2</v>
      </c>
    </row>
    <row r="203" spans="1:13" ht="17.399999999999999" customHeight="1" thickBot="1" x14ac:dyDescent="0.35">
      <c r="A203" s="1" t="s">
        <v>226</v>
      </c>
      <c r="B203" s="1" t="s">
        <v>1</v>
      </c>
      <c r="C203" s="2">
        <v>45724</v>
      </c>
      <c r="D203" s="1" t="s">
        <v>14</v>
      </c>
      <c r="E203" s="1" t="s">
        <v>11</v>
      </c>
      <c r="F203" s="3">
        <v>5812</v>
      </c>
      <c r="G203" s="3">
        <v>934</v>
      </c>
      <c r="H203" s="3">
        <v>302</v>
      </c>
      <c r="I203" s="3">
        <v>2356</v>
      </c>
      <c r="J203" s="3">
        <v>37437</v>
      </c>
      <c r="K203" s="3">
        <v>93551</v>
      </c>
      <c r="L203" s="1" t="s">
        <v>4</v>
      </c>
      <c r="M203" s="41">
        <f>(F203+G203+H203)/Table23[[#This Row],[Impressions]]</f>
        <v>7.5338585370546551E-2</v>
      </c>
    </row>
    <row r="204" spans="1:13" ht="17.399999999999999" customHeight="1" thickBot="1" x14ac:dyDescent="0.35">
      <c r="A204" s="1" t="s">
        <v>227</v>
      </c>
      <c r="B204" s="1" t="s">
        <v>6</v>
      </c>
      <c r="C204" s="5">
        <v>45910</v>
      </c>
      <c r="D204" s="1" t="s">
        <v>14</v>
      </c>
      <c r="E204" s="1" t="s">
        <v>29</v>
      </c>
      <c r="F204" s="3">
        <v>13613</v>
      </c>
      <c r="G204" s="3">
        <v>350</v>
      </c>
      <c r="H204" s="3">
        <v>809</v>
      </c>
      <c r="I204" s="3">
        <v>2013</v>
      </c>
      <c r="J204" s="3">
        <v>20471</v>
      </c>
      <c r="K204" s="3">
        <v>198038</v>
      </c>
      <c r="L204" s="1" t="s">
        <v>26</v>
      </c>
      <c r="M204" s="41">
        <f>(F204+G204+H204)/Table23[[#This Row],[Impressions]]</f>
        <v>7.4591745018632791E-2</v>
      </c>
    </row>
    <row r="205" spans="1:13" ht="17.399999999999999" customHeight="1" thickBot="1" x14ac:dyDescent="0.35">
      <c r="A205" s="1" t="s">
        <v>228</v>
      </c>
      <c r="B205" s="1" t="s">
        <v>1</v>
      </c>
      <c r="C205" s="2">
        <v>45782</v>
      </c>
      <c r="D205" s="1" t="s">
        <v>7</v>
      </c>
      <c r="E205" s="1" t="s">
        <v>15</v>
      </c>
      <c r="F205" s="3">
        <v>10415</v>
      </c>
      <c r="G205" s="3">
        <v>1388</v>
      </c>
      <c r="H205" s="3">
        <v>725</v>
      </c>
      <c r="I205" s="3">
        <v>2462</v>
      </c>
      <c r="J205" s="3">
        <v>53082</v>
      </c>
      <c r="K205" s="3">
        <v>168267</v>
      </c>
      <c r="L205" s="1" t="s">
        <v>18</v>
      </c>
      <c r="M205" s="41">
        <f>(F205+G205+H205)/Table23[[#This Row],[Impressions]]</f>
        <v>7.4453101321114656E-2</v>
      </c>
    </row>
    <row r="206" spans="1:13" ht="17.399999999999999" customHeight="1" thickBot="1" x14ac:dyDescent="0.35">
      <c r="A206" s="1" t="s">
        <v>229</v>
      </c>
      <c r="B206" s="1" t="s">
        <v>22</v>
      </c>
      <c r="C206" s="2">
        <v>45775</v>
      </c>
      <c r="D206" s="1" t="s">
        <v>17</v>
      </c>
      <c r="E206" s="1" t="s">
        <v>15</v>
      </c>
      <c r="F206" s="3">
        <v>10659</v>
      </c>
      <c r="G206" s="3">
        <v>1342</v>
      </c>
      <c r="H206" s="3">
        <v>408</v>
      </c>
      <c r="I206" s="3">
        <v>709</v>
      </c>
      <c r="J206" s="3">
        <v>16309</v>
      </c>
      <c r="K206" s="3">
        <v>168803</v>
      </c>
      <c r="L206" s="1" t="s">
        <v>20</v>
      </c>
      <c r="M206" s="41">
        <f>(F206+G206+H206)/Table23[[#This Row],[Impressions]]</f>
        <v>7.3511726687321907E-2</v>
      </c>
    </row>
    <row r="207" spans="1:13" ht="17.399999999999999" customHeight="1" thickBot="1" x14ac:dyDescent="0.35">
      <c r="A207" s="1" t="s">
        <v>230</v>
      </c>
      <c r="B207" s="1" t="s">
        <v>13</v>
      </c>
      <c r="C207" s="2">
        <v>45735</v>
      </c>
      <c r="D207" s="1" t="s">
        <v>17</v>
      </c>
      <c r="E207" s="1" t="s">
        <v>23</v>
      </c>
      <c r="F207" s="3">
        <v>13475</v>
      </c>
      <c r="G207" s="3">
        <v>1032</v>
      </c>
      <c r="H207" s="3">
        <v>295</v>
      </c>
      <c r="I207" s="3">
        <v>541</v>
      </c>
      <c r="J207" s="3">
        <v>43666</v>
      </c>
      <c r="K207" s="3">
        <v>202396</v>
      </c>
      <c r="L207" s="1" t="s">
        <v>18</v>
      </c>
      <c r="M207" s="41">
        <f>(F207+G207+H207)/Table23[[#This Row],[Impressions]]</f>
        <v>7.3133856400324118E-2</v>
      </c>
    </row>
    <row r="208" spans="1:13" ht="17.399999999999999" customHeight="1" thickBot="1" x14ac:dyDescent="0.35">
      <c r="A208" s="1" t="s">
        <v>231</v>
      </c>
      <c r="B208" s="1" t="s">
        <v>1</v>
      </c>
      <c r="C208" s="2">
        <v>45523</v>
      </c>
      <c r="D208" s="1" t="s">
        <v>14</v>
      </c>
      <c r="E208" s="1" t="s">
        <v>25</v>
      </c>
      <c r="F208" s="3">
        <v>15550</v>
      </c>
      <c r="G208" s="3">
        <v>204</v>
      </c>
      <c r="H208" s="3">
        <v>279</v>
      </c>
      <c r="I208" s="3">
        <v>1646</v>
      </c>
      <c r="J208" s="3">
        <v>35819</v>
      </c>
      <c r="K208" s="3">
        <v>219436</v>
      </c>
      <c r="L208" s="1" t="s">
        <v>4</v>
      </c>
      <c r="M208" s="41">
        <f>(F208+G208+H208)/Table23[[#This Row],[Impressions]]</f>
        <v>7.306458375107093E-2</v>
      </c>
    </row>
    <row r="209" spans="1:13" ht="17.399999999999999" customHeight="1" thickBot="1" x14ac:dyDescent="0.35">
      <c r="A209" s="1" t="s">
        <v>232</v>
      </c>
      <c r="B209" s="1" t="s">
        <v>22</v>
      </c>
      <c r="C209" s="2">
        <v>45476</v>
      </c>
      <c r="D209" s="1" t="s">
        <v>2</v>
      </c>
      <c r="E209" s="1" t="s">
        <v>29</v>
      </c>
      <c r="F209" s="3">
        <v>12167</v>
      </c>
      <c r="G209" s="3">
        <v>364</v>
      </c>
      <c r="H209" s="3">
        <v>160</v>
      </c>
      <c r="I209" s="3">
        <v>616</v>
      </c>
      <c r="J209" s="3">
        <v>42228</v>
      </c>
      <c r="K209" s="3">
        <v>175832</v>
      </c>
      <c r="L209" s="1" t="s">
        <v>20</v>
      </c>
      <c r="M209" s="41">
        <f>(F209+G209+H209)/Table23[[#This Row],[Impressions]]</f>
        <v>7.2176850630146963E-2</v>
      </c>
    </row>
    <row r="210" spans="1:13" ht="17.399999999999999" customHeight="1" thickBot="1" x14ac:dyDescent="0.35">
      <c r="A210" s="1" t="s">
        <v>233</v>
      </c>
      <c r="B210" s="1" t="s">
        <v>1</v>
      </c>
      <c r="C210" s="5">
        <v>45923</v>
      </c>
      <c r="D210" s="1" t="s">
        <v>14</v>
      </c>
      <c r="E210" s="1" t="s">
        <v>60</v>
      </c>
      <c r="F210" s="3">
        <v>10017</v>
      </c>
      <c r="G210" s="3">
        <v>1357</v>
      </c>
      <c r="H210" s="3">
        <v>966</v>
      </c>
      <c r="I210" s="3">
        <v>2871</v>
      </c>
      <c r="J210" s="3">
        <v>14800</v>
      </c>
      <c r="K210" s="3">
        <v>171691</v>
      </c>
      <c r="L210" s="1" t="s">
        <v>26</v>
      </c>
      <c r="M210" s="41">
        <f>(F210+G210+H210)/Table23[[#This Row],[Impressions]]</f>
        <v>7.1873307278774071E-2</v>
      </c>
    </row>
    <row r="211" spans="1:13" ht="17.399999999999999" customHeight="1" thickBot="1" x14ac:dyDescent="0.35">
      <c r="A211" s="1" t="s">
        <v>234</v>
      </c>
      <c r="B211" s="1" t="s">
        <v>6</v>
      </c>
      <c r="C211" s="2">
        <v>45483</v>
      </c>
      <c r="D211" s="1" t="s">
        <v>14</v>
      </c>
      <c r="E211" s="1" t="s">
        <v>45</v>
      </c>
      <c r="F211" s="3">
        <v>8809</v>
      </c>
      <c r="G211" s="3">
        <v>1151</v>
      </c>
      <c r="H211" s="3">
        <v>908</v>
      </c>
      <c r="I211" s="3">
        <v>883</v>
      </c>
      <c r="J211" s="3">
        <v>42921</v>
      </c>
      <c r="K211" s="3">
        <v>151279</v>
      </c>
      <c r="L211" s="1" t="s">
        <v>18</v>
      </c>
      <c r="M211" s="41">
        <f>(F211+G211+H211)/Table23[[#This Row],[Impressions]]</f>
        <v>7.1840771025720687E-2</v>
      </c>
    </row>
    <row r="212" spans="1:13" ht="17.399999999999999" customHeight="1" thickBot="1" x14ac:dyDescent="0.35">
      <c r="A212" s="1" t="s">
        <v>235</v>
      </c>
      <c r="B212" s="1" t="s">
        <v>6</v>
      </c>
      <c r="C212" s="5">
        <v>45945</v>
      </c>
      <c r="D212" s="1" t="s">
        <v>14</v>
      </c>
      <c r="E212" s="1" t="s">
        <v>25</v>
      </c>
      <c r="F212" s="3">
        <v>8882</v>
      </c>
      <c r="G212" s="3">
        <v>701</v>
      </c>
      <c r="H212" s="3">
        <v>421</v>
      </c>
      <c r="I212" s="3">
        <v>2343</v>
      </c>
      <c r="J212" s="3">
        <v>13588</v>
      </c>
      <c r="K212" s="3">
        <v>139304</v>
      </c>
      <c r="L212" s="1" t="s">
        <v>26</v>
      </c>
      <c r="M212" s="41">
        <f>(F212+G212+H212)/Table23[[#This Row],[Impressions]]</f>
        <v>7.1814161833113191E-2</v>
      </c>
    </row>
    <row r="213" spans="1:13" ht="17.399999999999999" customHeight="1" thickBot="1" x14ac:dyDescent="0.35">
      <c r="A213" s="1" t="s">
        <v>236</v>
      </c>
      <c r="B213" s="1" t="s">
        <v>6</v>
      </c>
      <c r="C213" s="5">
        <v>45930</v>
      </c>
      <c r="D213" s="1" t="s">
        <v>7</v>
      </c>
      <c r="E213" s="1" t="s">
        <v>11</v>
      </c>
      <c r="F213" s="3">
        <v>8269</v>
      </c>
      <c r="G213" s="3">
        <v>250</v>
      </c>
      <c r="H213" s="3">
        <v>638</v>
      </c>
      <c r="I213" s="3">
        <v>815</v>
      </c>
      <c r="J213" s="3">
        <v>41991</v>
      </c>
      <c r="K213" s="3">
        <v>129393</v>
      </c>
      <c r="L213" s="1" t="s">
        <v>26</v>
      </c>
      <c r="M213" s="41">
        <f>(F213+G213+H213)/Table23[[#This Row],[Impressions]]</f>
        <v>7.0768897853825175E-2</v>
      </c>
    </row>
    <row r="214" spans="1:13" ht="17.399999999999999" customHeight="1" thickBot="1" x14ac:dyDescent="0.35">
      <c r="A214" s="1" t="s">
        <v>237</v>
      </c>
      <c r="B214" s="1" t="s">
        <v>6</v>
      </c>
      <c r="C214" s="2">
        <v>45753</v>
      </c>
      <c r="D214" s="1" t="s">
        <v>17</v>
      </c>
      <c r="E214" s="1" t="s">
        <v>15</v>
      </c>
      <c r="F214" s="3">
        <v>15917</v>
      </c>
      <c r="G214" s="3">
        <v>1479</v>
      </c>
      <c r="H214" s="3">
        <v>196</v>
      </c>
      <c r="I214" s="3">
        <v>313</v>
      </c>
      <c r="J214" s="3">
        <v>48524</v>
      </c>
      <c r="K214" s="3">
        <v>249684</v>
      </c>
      <c r="L214" s="1" t="s">
        <v>9</v>
      </c>
      <c r="M214" s="41">
        <f>(F214+G214+H214)/Table23[[#This Row],[Impressions]]</f>
        <v>7.0457057720959296E-2</v>
      </c>
    </row>
    <row r="215" spans="1:13" ht="17.399999999999999" customHeight="1" thickBot="1" x14ac:dyDescent="0.35">
      <c r="A215" s="1" t="s">
        <v>238</v>
      </c>
      <c r="B215" s="1" t="s">
        <v>22</v>
      </c>
      <c r="C215" s="2">
        <v>45602</v>
      </c>
      <c r="D215" s="1" t="s">
        <v>14</v>
      </c>
      <c r="E215" s="1" t="s">
        <v>3</v>
      </c>
      <c r="F215" s="3">
        <v>11865</v>
      </c>
      <c r="G215" s="3">
        <v>241</v>
      </c>
      <c r="H215" s="3">
        <v>319</v>
      </c>
      <c r="I215" s="3">
        <v>703</v>
      </c>
      <c r="J215" s="3">
        <v>69596</v>
      </c>
      <c r="K215" s="3">
        <v>177513</v>
      </c>
      <c r="L215" s="1" t="s">
        <v>9</v>
      </c>
      <c r="M215" s="41">
        <f>(F215+G215+H215)/Table23[[#This Row],[Impressions]]</f>
        <v>6.999487361489018E-2</v>
      </c>
    </row>
    <row r="216" spans="1:13" ht="17.399999999999999" customHeight="1" thickBot="1" x14ac:dyDescent="0.35">
      <c r="A216" s="1" t="s">
        <v>239</v>
      </c>
      <c r="B216" s="1" t="s">
        <v>22</v>
      </c>
      <c r="C216" s="5">
        <v>45925</v>
      </c>
      <c r="D216" s="1" t="s">
        <v>17</v>
      </c>
      <c r="E216" s="1" t="s">
        <v>45</v>
      </c>
      <c r="F216" s="3">
        <v>12568</v>
      </c>
      <c r="G216" s="3">
        <v>541</v>
      </c>
      <c r="H216" s="3">
        <v>273</v>
      </c>
      <c r="I216" s="3">
        <v>2767</v>
      </c>
      <c r="J216" s="3">
        <v>22331</v>
      </c>
      <c r="K216" s="3">
        <v>192747</v>
      </c>
      <c r="L216" s="1" t="s">
        <v>26</v>
      </c>
      <c r="M216" s="41">
        <f>(F216+G216+H216)/Table23[[#This Row],[Impressions]]</f>
        <v>6.9427799135654514E-2</v>
      </c>
    </row>
    <row r="217" spans="1:13" ht="17.399999999999999" customHeight="1" thickBot="1" x14ac:dyDescent="0.35">
      <c r="A217" s="1" t="s">
        <v>240</v>
      </c>
      <c r="B217" s="1" t="s">
        <v>1</v>
      </c>
      <c r="C217" s="5">
        <v>45917</v>
      </c>
      <c r="D217" s="1" t="s">
        <v>7</v>
      </c>
      <c r="E217" s="1" t="s">
        <v>3</v>
      </c>
      <c r="F217" s="3">
        <v>15456</v>
      </c>
      <c r="G217" s="3">
        <v>590</v>
      </c>
      <c r="H217" s="3">
        <v>555</v>
      </c>
      <c r="I217" s="3">
        <v>2882</v>
      </c>
      <c r="J217" s="3">
        <v>49816</v>
      </c>
      <c r="K217" s="3">
        <v>240422</v>
      </c>
      <c r="L217" s="1" t="s">
        <v>26</v>
      </c>
      <c r="M217" s="41">
        <f>(F217+G217+H217)/Table23[[#This Row],[Impressions]]</f>
        <v>6.9049421433978589E-2</v>
      </c>
    </row>
    <row r="218" spans="1:13" ht="17.399999999999999" customHeight="1" thickBot="1" x14ac:dyDescent="0.35">
      <c r="A218" s="1" t="s">
        <v>241</v>
      </c>
      <c r="B218" s="1" t="s">
        <v>1</v>
      </c>
      <c r="C218" s="2">
        <v>45663</v>
      </c>
      <c r="D218" s="1" t="s">
        <v>14</v>
      </c>
      <c r="E218" s="1" t="s">
        <v>34</v>
      </c>
      <c r="F218" s="3">
        <v>11860</v>
      </c>
      <c r="G218" s="3">
        <v>1448</v>
      </c>
      <c r="H218" s="3">
        <v>893</v>
      </c>
      <c r="I218" s="3">
        <v>490</v>
      </c>
      <c r="J218" s="3">
        <v>23518</v>
      </c>
      <c r="K218" s="3">
        <v>206205</v>
      </c>
      <c r="L218" s="1" t="s">
        <v>4</v>
      </c>
      <c r="M218" s="41">
        <f>(F218+G218+H218)/Table23[[#This Row],[Impressions]]</f>
        <v>6.8868359157149436E-2</v>
      </c>
    </row>
    <row r="219" spans="1:13" ht="17.399999999999999" customHeight="1" thickBot="1" x14ac:dyDescent="0.35">
      <c r="A219" s="1" t="s">
        <v>242</v>
      </c>
      <c r="B219" s="1" t="s">
        <v>22</v>
      </c>
      <c r="C219" s="2">
        <v>45748</v>
      </c>
      <c r="D219" s="1" t="s">
        <v>14</v>
      </c>
      <c r="E219" s="1" t="s">
        <v>3</v>
      </c>
      <c r="F219" s="3">
        <v>6432</v>
      </c>
      <c r="G219" s="3">
        <v>1272</v>
      </c>
      <c r="H219" s="3">
        <v>498</v>
      </c>
      <c r="I219" s="3">
        <v>677</v>
      </c>
      <c r="J219" s="3">
        <v>47305</v>
      </c>
      <c r="K219" s="3">
        <v>119134</v>
      </c>
      <c r="L219" s="1" t="s">
        <v>4</v>
      </c>
      <c r="M219" s="41">
        <f>(F219+G219+H219)/Table23[[#This Row],[Impressions]]</f>
        <v>6.8846844729464299E-2</v>
      </c>
    </row>
    <row r="220" spans="1:13" ht="17.399999999999999" customHeight="1" thickBot="1" x14ac:dyDescent="0.35">
      <c r="A220" s="1" t="s">
        <v>243</v>
      </c>
      <c r="B220" s="1" t="s">
        <v>22</v>
      </c>
      <c r="C220" s="2">
        <v>45537</v>
      </c>
      <c r="D220" s="1" t="s">
        <v>2</v>
      </c>
      <c r="E220" s="1" t="s">
        <v>23</v>
      </c>
      <c r="F220" s="3">
        <v>11765</v>
      </c>
      <c r="G220" s="3">
        <v>693</v>
      </c>
      <c r="H220" s="3">
        <v>729</v>
      </c>
      <c r="I220" s="3">
        <v>744</v>
      </c>
      <c r="J220" s="3">
        <v>97772</v>
      </c>
      <c r="K220" s="3">
        <v>194243</v>
      </c>
      <c r="L220" s="1" t="s">
        <v>4</v>
      </c>
      <c r="M220" s="41">
        <f>(F220+G220+H220)/Table23[[#This Row],[Impressions]]</f>
        <v>6.7889190344053579E-2</v>
      </c>
    </row>
    <row r="221" spans="1:13" ht="17.399999999999999" customHeight="1" thickBot="1" x14ac:dyDescent="0.35">
      <c r="A221" s="1" t="s">
        <v>244</v>
      </c>
      <c r="B221" s="1" t="s">
        <v>13</v>
      </c>
      <c r="C221" s="2">
        <v>45675</v>
      </c>
      <c r="D221" s="1" t="s">
        <v>7</v>
      </c>
      <c r="E221" s="1" t="s">
        <v>45</v>
      </c>
      <c r="F221" s="3">
        <v>12589</v>
      </c>
      <c r="G221" s="3">
        <v>346</v>
      </c>
      <c r="H221" s="3">
        <v>459</v>
      </c>
      <c r="I221" s="3">
        <v>1407</v>
      </c>
      <c r="J221" s="3">
        <v>29254</v>
      </c>
      <c r="K221" s="3">
        <v>198059</v>
      </c>
      <c r="L221" s="1" t="s">
        <v>20</v>
      </c>
      <c r="M221" s="41">
        <f>(F221+G221+H221)/Table23[[#This Row],[Impressions]]</f>
        <v>6.7626313371268162E-2</v>
      </c>
    </row>
    <row r="222" spans="1:13" ht="17.399999999999999" customHeight="1" thickBot="1" x14ac:dyDescent="0.35">
      <c r="A222" s="1" t="s">
        <v>245</v>
      </c>
      <c r="B222" s="1" t="s">
        <v>1</v>
      </c>
      <c r="C222" s="2">
        <v>45619</v>
      </c>
      <c r="D222" s="1" t="s">
        <v>7</v>
      </c>
      <c r="E222" s="1" t="s">
        <v>8</v>
      </c>
      <c r="F222" s="3">
        <v>9941</v>
      </c>
      <c r="G222" s="3">
        <v>1329</v>
      </c>
      <c r="H222" s="3">
        <v>238</v>
      </c>
      <c r="I222" s="3">
        <v>869</v>
      </c>
      <c r="J222" s="3">
        <v>40281</v>
      </c>
      <c r="K222" s="3">
        <v>172311</v>
      </c>
      <c r="L222" s="1" t="s">
        <v>20</v>
      </c>
      <c r="M222" s="41">
        <f>(F222+G222+H222)/Table23[[#This Row],[Impressions]]</f>
        <v>6.6786217943137702E-2</v>
      </c>
    </row>
    <row r="223" spans="1:13" ht="17.399999999999999" customHeight="1" thickBot="1" x14ac:dyDescent="0.35">
      <c r="A223" s="1" t="s">
        <v>246</v>
      </c>
      <c r="B223" s="1" t="s">
        <v>13</v>
      </c>
      <c r="C223" s="2">
        <v>45475</v>
      </c>
      <c r="D223" s="1" t="s">
        <v>17</v>
      </c>
      <c r="E223" s="1" t="s">
        <v>3</v>
      </c>
      <c r="F223" s="3">
        <v>12320</v>
      </c>
      <c r="G223" s="3">
        <v>1157</v>
      </c>
      <c r="H223" s="3">
        <v>365</v>
      </c>
      <c r="I223" s="3">
        <v>584</v>
      </c>
      <c r="J223" s="3">
        <v>66634</v>
      </c>
      <c r="K223" s="3">
        <v>210102</v>
      </c>
      <c r="L223" s="1" t="s">
        <v>9</v>
      </c>
      <c r="M223" s="41">
        <f>(F223+G223+H223)/Table23[[#This Row],[Impressions]]</f>
        <v>6.5882285746922925E-2</v>
      </c>
    </row>
    <row r="224" spans="1:13" ht="17.399999999999999" customHeight="1" thickBot="1" x14ac:dyDescent="0.35">
      <c r="A224" s="1" t="s">
        <v>247</v>
      </c>
      <c r="B224" s="1" t="s">
        <v>6</v>
      </c>
      <c r="C224" s="2">
        <v>45573</v>
      </c>
      <c r="D224" s="1" t="s">
        <v>7</v>
      </c>
      <c r="E224" s="1" t="s">
        <v>37</v>
      </c>
      <c r="F224" s="3">
        <v>8738</v>
      </c>
      <c r="G224" s="3">
        <v>295</v>
      </c>
      <c r="H224" s="3">
        <v>529</v>
      </c>
      <c r="I224" s="3">
        <v>442</v>
      </c>
      <c r="J224" s="3">
        <v>25286</v>
      </c>
      <c r="K224" s="3">
        <v>147522</v>
      </c>
      <c r="L224" s="1" t="s">
        <v>9</v>
      </c>
      <c r="M224" s="41">
        <f>(F224+G224+H224)/Table23[[#This Row],[Impressions]]</f>
        <v>6.4817450956467515E-2</v>
      </c>
    </row>
    <row r="225" spans="1:13" ht="17.399999999999999" customHeight="1" thickBot="1" x14ac:dyDescent="0.35">
      <c r="A225" s="1" t="s">
        <v>248</v>
      </c>
      <c r="B225" s="1" t="s">
        <v>1</v>
      </c>
      <c r="C225" s="2">
        <v>45729</v>
      </c>
      <c r="D225" s="1" t="s">
        <v>17</v>
      </c>
      <c r="E225" s="1" t="s">
        <v>34</v>
      </c>
      <c r="F225" s="3">
        <v>6544</v>
      </c>
      <c r="G225" s="3">
        <v>749</v>
      </c>
      <c r="H225" s="3">
        <v>888</v>
      </c>
      <c r="I225" s="3">
        <v>594</v>
      </c>
      <c r="J225" s="3">
        <v>18171</v>
      </c>
      <c r="K225" s="3">
        <v>126475</v>
      </c>
      <c r="L225" s="1" t="s">
        <v>20</v>
      </c>
      <c r="M225" s="41">
        <f>(F225+G225+H225)/Table23[[#This Row],[Impressions]]</f>
        <v>6.4684720300454635E-2</v>
      </c>
    </row>
    <row r="226" spans="1:13" ht="17.399999999999999" customHeight="1" thickBot="1" x14ac:dyDescent="0.35">
      <c r="A226" s="1" t="s">
        <v>249</v>
      </c>
      <c r="B226" s="1" t="s">
        <v>22</v>
      </c>
      <c r="C226" s="2">
        <v>45454</v>
      </c>
      <c r="D226" s="1" t="s">
        <v>2</v>
      </c>
      <c r="E226" s="1" t="s">
        <v>37</v>
      </c>
      <c r="F226" s="3">
        <v>14910</v>
      </c>
      <c r="G226" s="3">
        <v>778</v>
      </c>
      <c r="H226" s="3">
        <v>289</v>
      </c>
      <c r="I226" s="3">
        <v>2541</v>
      </c>
      <c r="J226" s="3">
        <v>14309</v>
      </c>
      <c r="K226" s="3">
        <v>247815</v>
      </c>
      <c r="L226" s="1" t="s">
        <v>20</v>
      </c>
      <c r="M226" s="41">
        <f>(F226+G226+H226)/Table23[[#This Row],[Impressions]]</f>
        <v>6.4471480741682297E-2</v>
      </c>
    </row>
    <row r="227" spans="1:13" ht="17.399999999999999" customHeight="1" thickBot="1" x14ac:dyDescent="0.35">
      <c r="A227" s="1" t="s">
        <v>250</v>
      </c>
      <c r="B227" s="1" t="s">
        <v>6</v>
      </c>
      <c r="C227" s="2">
        <v>45574</v>
      </c>
      <c r="D227" s="1" t="s">
        <v>2</v>
      </c>
      <c r="E227" s="1" t="s">
        <v>58</v>
      </c>
      <c r="F227" s="3">
        <v>7240</v>
      </c>
      <c r="G227" s="3">
        <v>1384</v>
      </c>
      <c r="H227" s="3">
        <v>954</v>
      </c>
      <c r="I227" s="3">
        <v>2335</v>
      </c>
      <c r="J227" s="3">
        <v>6757</v>
      </c>
      <c r="K227" s="3">
        <v>150448</v>
      </c>
      <c r="L227" s="1" t="s">
        <v>20</v>
      </c>
      <c r="M227" s="41">
        <f>(F227+G227+H227)/Table23[[#This Row],[Impressions]]</f>
        <v>6.3663192598106988E-2</v>
      </c>
    </row>
    <row r="228" spans="1:13" ht="17.399999999999999" customHeight="1" thickBot="1" x14ac:dyDescent="0.35">
      <c r="A228" s="1" t="s">
        <v>251</v>
      </c>
      <c r="B228" s="1" t="s">
        <v>22</v>
      </c>
      <c r="C228" s="2">
        <v>45707</v>
      </c>
      <c r="D228" s="1" t="s">
        <v>2</v>
      </c>
      <c r="E228" s="1" t="s">
        <v>58</v>
      </c>
      <c r="F228" s="3">
        <v>8168</v>
      </c>
      <c r="G228" s="3">
        <v>512</v>
      </c>
      <c r="H228" s="3">
        <v>442</v>
      </c>
      <c r="I228" s="3">
        <v>2343</v>
      </c>
      <c r="J228" s="3">
        <v>2753</v>
      </c>
      <c r="K228" s="3">
        <v>143896</v>
      </c>
      <c r="L228" s="1" t="s">
        <v>18</v>
      </c>
      <c r="M228" s="41">
        <f>(F228+G228+H228)/Table23[[#This Row],[Impressions]]</f>
        <v>6.3393006059932172E-2</v>
      </c>
    </row>
    <row r="229" spans="1:13" ht="17.399999999999999" customHeight="1" thickBot="1" x14ac:dyDescent="0.35">
      <c r="A229" s="1" t="s">
        <v>252</v>
      </c>
      <c r="B229" s="1" t="s">
        <v>22</v>
      </c>
      <c r="C229" s="2">
        <v>45459</v>
      </c>
      <c r="D229" s="1" t="s">
        <v>7</v>
      </c>
      <c r="E229" s="1" t="s">
        <v>11</v>
      </c>
      <c r="F229" s="3">
        <v>12160</v>
      </c>
      <c r="G229" s="3">
        <v>1405</v>
      </c>
      <c r="H229" s="3">
        <v>769</v>
      </c>
      <c r="I229" s="3">
        <v>1980</v>
      </c>
      <c r="J229" s="3">
        <v>33174</v>
      </c>
      <c r="K229" s="3">
        <v>226481</v>
      </c>
      <c r="L229" s="1" t="s">
        <v>4</v>
      </c>
      <c r="M229" s="41">
        <f>(F229+G229+H229)/Table23[[#This Row],[Impressions]]</f>
        <v>6.329007731332871E-2</v>
      </c>
    </row>
    <row r="230" spans="1:13" ht="17.399999999999999" customHeight="1" thickBot="1" x14ac:dyDescent="0.35">
      <c r="A230" s="1" t="s">
        <v>253</v>
      </c>
      <c r="B230" s="1" t="s">
        <v>13</v>
      </c>
      <c r="C230" s="2">
        <v>45783</v>
      </c>
      <c r="D230" s="1" t="s">
        <v>17</v>
      </c>
      <c r="E230" s="1" t="s">
        <v>11</v>
      </c>
      <c r="F230" s="3">
        <v>7287</v>
      </c>
      <c r="G230" s="3">
        <v>1240</v>
      </c>
      <c r="H230" s="3">
        <v>686</v>
      </c>
      <c r="I230" s="3">
        <v>1255</v>
      </c>
      <c r="J230" s="3">
        <v>15403</v>
      </c>
      <c r="K230" s="3">
        <v>147971</v>
      </c>
      <c r="L230" s="1" t="s">
        <v>4</v>
      </c>
      <c r="M230" s="41">
        <f>(F230+G230+H230)/Table23[[#This Row],[Impressions]]</f>
        <v>6.2262200025680704E-2</v>
      </c>
    </row>
    <row r="231" spans="1:13" ht="17.399999999999999" customHeight="1" thickBot="1" x14ac:dyDescent="0.35">
      <c r="A231" s="1" t="s">
        <v>254</v>
      </c>
      <c r="B231" s="1" t="s">
        <v>6</v>
      </c>
      <c r="C231" s="2">
        <v>45766</v>
      </c>
      <c r="D231" s="1" t="s">
        <v>14</v>
      </c>
      <c r="E231" s="1" t="s">
        <v>3</v>
      </c>
      <c r="F231" s="3">
        <v>8881</v>
      </c>
      <c r="G231" s="3">
        <v>210</v>
      </c>
      <c r="H231" s="3">
        <v>673</v>
      </c>
      <c r="I231" s="3">
        <v>1565</v>
      </c>
      <c r="J231" s="3">
        <v>24847</v>
      </c>
      <c r="K231" s="3">
        <v>156891</v>
      </c>
      <c r="L231" s="1" t="s">
        <v>20</v>
      </c>
      <c r="M231" s="41">
        <f>(F231+G231+H231)/Table23[[#This Row],[Impressions]]</f>
        <v>6.223429004850501E-2</v>
      </c>
    </row>
    <row r="232" spans="1:13" ht="17.399999999999999" customHeight="1" thickBot="1" x14ac:dyDescent="0.35">
      <c r="A232" s="1" t="s">
        <v>255</v>
      </c>
      <c r="B232" s="1" t="s">
        <v>13</v>
      </c>
      <c r="C232" s="2">
        <v>45587</v>
      </c>
      <c r="D232" s="1" t="s">
        <v>7</v>
      </c>
      <c r="E232" s="1" t="s">
        <v>3</v>
      </c>
      <c r="F232" s="3">
        <v>12478</v>
      </c>
      <c r="G232" s="3">
        <v>484</v>
      </c>
      <c r="H232" s="3">
        <v>332</v>
      </c>
      <c r="I232" s="3">
        <v>2734</v>
      </c>
      <c r="J232" s="3">
        <v>43338</v>
      </c>
      <c r="K232" s="3">
        <v>213895</v>
      </c>
      <c r="L232" s="1" t="s">
        <v>9</v>
      </c>
      <c r="M232" s="41">
        <f>(F232+G232+H232)/Table23[[#This Row],[Impressions]]</f>
        <v>6.2151990462610156E-2</v>
      </c>
    </row>
    <row r="233" spans="1:13" ht="17.399999999999999" customHeight="1" thickBot="1" x14ac:dyDescent="0.35">
      <c r="A233" s="1" t="s">
        <v>256</v>
      </c>
      <c r="B233" s="1" t="s">
        <v>6</v>
      </c>
      <c r="C233" s="2">
        <v>45672</v>
      </c>
      <c r="D233" s="1" t="s">
        <v>7</v>
      </c>
      <c r="E233" s="1" t="s">
        <v>29</v>
      </c>
      <c r="F233" s="3">
        <v>11333</v>
      </c>
      <c r="G233" s="3">
        <v>920</v>
      </c>
      <c r="H233" s="3">
        <v>294</v>
      </c>
      <c r="I233" s="3">
        <v>606</v>
      </c>
      <c r="J233" s="3">
        <v>59490</v>
      </c>
      <c r="K233" s="3">
        <v>202082</v>
      </c>
      <c r="L233" s="1" t="s">
        <v>20</v>
      </c>
      <c r="M233" s="41">
        <f>(F233+G233+H233)/Table23[[#This Row],[Impressions]]</f>
        <v>6.2088657079799291E-2</v>
      </c>
    </row>
    <row r="234" spans="1:13" ht="17.399999999999999" customHeight="1" thickBot="1" x14ac:dyDescent="0.35">
      <c r="A234" s="1" t="s">
        <v>257</v>
      </c>
      <c r="B234" s="1" t="s">
        <v>6</v>
      </c>
      <c r="C234" s="2">
        <v>45629</v>
      </c>
      <c r="D234" s="1" t="s">
        <v>14</v>
      </c>
      <c r="E234" s="1" t="s">
        <v>3</v>
      </c>
      <c r="F234" s="3">
        <v>2055</v>
      </c>
      <c r="G234" s="3">
        <v>675</v>
      </c>
      <c r="H234" s="3">
        <v>257</v>
      </c>
      <c r="I234" s="3">
        <v>820</v>
      </c>
      <c r="J234" s="3">
        <v>33534</v>
      </c>
      <c r="K234" s="3">
        <v>48125</v>
      </c>
      <c r="L234" s="1" t="s">
        <v>4</v>
      </c>
      <c r="M234" s="41">
        <f>(F234+G234+H234)/Table23[[#This Row],[Impressions]]</f>
        <v>6.2067532467532466E-2</v>
      </c>
    </row>
    <row r="235" spans="1:13" ht="17.399999999999999" customHeight="1" thickBot="1" x14ac:dyDescent="0.35">
      <c r="A235" s="1" t="s">
        <v>258</v>
      </c>
      <c r="B235" s="1" t="s">
        <v>6</v>
      </c>
      <c r="C235" s="2">
        <v>45584</v>
      </c>
      <c r="D235" s="1" t="s">
        <v>17</v>
      </c>
      <c r="E235" s="1" t="s">
        <v>23</v>
      </c>
      <c r="F235" s="3">
        <v>6673</v>
      </c>
      <c r="G235" s="3">
        <v>826</v>
      </c>
      <c r="H235" s="3">
        <v>321</v>
      </c>
      <c r="I235" s="3">
        <v>577</v>
      </c>
      <c r="J235" s="3">
        <v>19262</v>
      </c>
      <c r="K235" s="3">
        <v>132324</v>
      </c>
      <c r="L235" s="1" t="s">
        <v>18</v>
      </c>
      <c r="M235" s="41">
        <f>(F235+G235+H235)/Table23[[#This Row],[Impressions]]</f>
        <v>5.9097367068710133E-2</v>
      </c>
    </row>
    <row r="236" spans="1:13" ht="17.399999999999999" customHeight="1" thickBot="1" x14ac:dyDescent="0.35">
      <c r="A236" s="1" t="s">
        <v>259</v>
      </c>
      <c r="B236" s="1" t="s">
        <v>6</v>
      </c>
      <c r="C236" s="2">
        <v>45727</v>
      </c>
      <c r="D236" s="1" t="s">
        <v>17</v>
      </c>
      <c r="E236" s="1" t="s">
        <v>11</v>
      </c>
      <c r="F236" s="3">
        <v>7997</v>
      </c>
      <c r="G236" s="3">
        <v>1238</v>
      </c>
      <c r="H236" s="3">
        <v>438</v>
      </c>
      <c r="I236" s="3">
        <v>1874</v>
      </c>
      <c r="J236" s="3">
        <v>36272</v>
      </c>
      <c r="K236" s="3">
        <v>165818</v>
      </c>
      <c r="L236" s="1" t="s">
        <v>18</v>
      </c>
      <c r="M236" s="41">
        <f>(F236+G236+H236)/Table23[[#This Row],[Impressions]]</f>
        <v>5.8335042034037318E-2</v>
      </c>
    </row>
    <row r="237" spans="1:13" ht="17.399999999999999" customHeight="1" thickBot="1" x14ac:dyDescent="0.35">
      <c r="A237" s="1" t="s">
        <v>260</v>
      </c>
      <c r="B237" s="1" t="s">
        <v>1</v>
      </c>
      <c r="C237" s="5">
        <v>45907</v>
      </c>
      <c r="D237" s="1" t="s">
        <v>7</v>
      </c>
      <c r="E237" s="1" t="s">
        <v>34</v>
      </c>
      <c r="F237" s="3">
        <v>3015</v>
      </c>
      <c r="G237" s="3">
        <v>997</v>
      </c>
      <c r="H237" s="3">
        <v>783</v>
      </c>
      <c r="I237" s="3">
        <v>617</v>
      </c>
      <c r="J237" s="3">
        <v>77167</v>
      </c>
      <c r="K237" s="3">
        <v>82229</v>
      </c>
      <c r="L237" s="1" t="s">
        <v>26</v>
      </c>
      <c r="M237" s="41">
        <f>(F237+G237+H237)/Table23[[#This Row],[Impressions]]</f>
        <v>5.8312760704860814E-2</v>
      </c>
    </row>
    <row r="238" spans="1:13" ht="17.399999999999999" customHeight="1" thickBot="1" x14ac:dyDescent="0.35">
      <c r="A238" s="1" t="s">
        <v>261</v>
      </c>
      <c r="B238" s="1" t="s">
        <v>22</v>
      </c>
      <c r="C238" s="2">
        <v>45764</v>
      </c>
      <c r="D238" s="1" t="s">
        <v>7</v>
      </c>
      <c r="E238" s="1" t="s">
        <v>25</v>
      </c>
      <c r="F238" s="3">
        <v>2009</v>
      </c>
      <c r="G238" s="3">
        <v>1037</v>
      </c>
      <c r="H238" s="3">
        <v>344</v>
      </c>
      <c r="I238" s="3">
        <v>2277</v>
      </c>
      <c r="J238" s="3">
        <v>85743</v>
      </c>
      <c r="K238" s="3">
        <v>58743</v>
      </c>
      <c r="L238" s="1" t="s">
        <v>9</v>
      </c>
      <c r="M238" s="41">
        <f>(F238+G238+H238)/Table23[[#This Row],[Impressions]]</f>
        <v>5.7709003625963942E-2</v>
      </c>
    </row>
    <row r="239" spans="1:13" ht="17.399999999999999" customHeight="1" thickBot="1" x14ac:dyDescent="0.35">
      <c r="A239" s="1" t="s">
        <v>262</v>
      </c>
      <c r="B239" s="1" t="s">
        <v>22</v>
      </c>
      <c r="C239" s="2">
        <v>45504</v>
      </c>
      <c r="D239" s="1" t="s">
        <v>14</v>
      </c>
      <c r="E239" s="1" t="s">
        <v>15</v>
      </c>
      <c r="F239" s="3">
        <v>2404</v>
      </c>
      <c r="G239" s="3">
        <v>774</v>
      </c>
      <c r="H239" s="3">
        <v>661</v>
      </c>
      <c r="I239" s="3">
        <v>662</v>
      </c>
      <c r="J239" s="3">
        <v>12676</v>
      </c>
      <c r="K239" s="3">
        <v>66916</v>
      </c>
      <c r="L239" s="1" t="s">
        <v>4</v>
      </c>
      <c r="M239" s="41">
        <f>(F239+G239+H239)/Table23[[#This Row],[Impressions]]</f>
        <v>5.7370434574690654E-2</v>
      </c>
    </row>
    <row r="240" spans="1:13" ht="17.399999999999999" customHeight="1" thickBot="1" x14ac:dyDescent="0.35">
      <c r="A240" s="1" t="s">
        <v>263</v>
      </c>
      <c r="B240" s="1" t="s">
        <v>22</v>
      </c>
      <c r="C240" s="2">
        <v>45694</v>
      </c>
      <c r="D240" s="1" t="s">
        <v>14</v>
      </c>
      <c r="E240" s="1" t="s">
        <v>11</v>
      </c>
      <c r="F240" s="3">
        <v>2666</v>
      </c>
      <c r="G240" s="3">
        <v>1136</v>
      </c>
      <c r="H240" s="3">
        <v>989</v>
      </c>
      <c r="I240" s="3">
        <v>1710</v>
      </c>
      <c r="J240" s="3">
        <v>36467</v>
      </c>
      <c r="K240" s="3">
        <v>83753</v>
      </c>
      <c r="L240" s="1" t="s">
        <v>20</v>
      </c>
      <c r="M240" s="41">
        <f>(F240+G240+H240)/Table23[[#This Row],[Impressions]]</f>
        <v>5.7203921053574198E-2</v>
      </c>
    </row>
    <row r="241" spans="1:13" ht="17.399999999999999" customHeight="1" thickBot="1" x14ac:dyDescent="0.35">
      <c r="A241" s="1" t="s">
        <v>264</v>
      </c>
      <c r="B241" s="1" t="s">
        <v>13</v>
      </c>
      <c r="C241" s="2">
        <v>45720</v>
      </c>
      <c r="D241" s="1" t="s">
        <v>7</v>
      </c>
      <c r="E241" s="1" t="s">
        <v>8</v>
      </c>
      <c r="F241" s="3">
        <v>12344</v>
      </c>
      <c r="G241" s="3">
        <v>815</v>
      </c>
      <c r="H241" s="3">
        <v>298</v>
      </c>
      <c r="I241" s="3">
        <v>2439</v>
      </c>
      <c r="J241" s="3">
        <v>6259</v>
      </c>
      <c r="K241" s="3">
        <v>237133</v>
      </c>
      <c r="L241" s="1" t="s">
        <v>9</v>
      </c>
      <c r="M241" s="41">
        <f>(F241+G241+H241)/Table23[[#This Row],[Impressions]]</f>
        <v>5.6748744375519224E-2</v>
      </c>
    </row>
    <row r="242" spans="1:13" ht="17.399999999999999" customHeight="1" thickBot="1" x14ac:dyDescent="0.35">
      <c r="A242" s="1" t="s">
        <v>265</v>
      </c>
      <c r="B242" s="1" t="s">
        <v>13</v>
      </c>
      <c r="C242" s="2">
        <v>45545</v>
      </c>
      <c r="D242" s="1" t="s">
        <v>17</v>
      </c>
      <c r="E242" s="1" t="s">
        <v>25</v>
      </c>
      <c r="F242" s="3">
        <v>6637</v>
      </c>
      <c r="G242" s="3">
        <v>595</v>
      </c>
      <c r="H242" s="3">
        <v>161</v>
      </c>
      <c r="I242" s="3">
        <v>2653</v>
      </c>
      <c r="J242" s="3">
        <v>19334</v>
      </c>
      <c r="K242" s="3">
        <v>131155</v>
      </c>
      <c r="L242" s="1" t="s">
        <v>20</v>
      </c>
      <c r="M242" s="41">
        <f>(F242+G242+H242)/Table23[[#This Row],[Impressions]]</f>
        <v>5.6368419046166747E-2</v>
      </c>
    </row>
    <row r="243" spans="1:13" ht="17.399999999999999" customHeight="1" thickBot="1" x14ac:dyDescent="0.35">
      <c r="A243" s="1" t="s">
        <v>266</v>
      </c>
      <c r="B243" s="1" t="s">
        <v>13</v>
      </c>
      <c r="C243" s="2">
        <v>45449</v>
      </c>
      <c r="D243" s="1" t="s">
        <v>7</v>
      </c>
      <c r="E243" s="1" t="s">
        <v>58</v>
      </c>
      <c r="F243" s="3">
        <v>11521</v>
      </c>
      <c r="G243" s="3">
        <v>1071</v>
      </c>
      <c r="H243" s="3">
        <v>762</v>
      </c>
      <c r="I243" s="3">
        <v>2539</v>
      </c>
      <c r="J243" s="3">
        <v>12701</v>
      </c>
      <c r="K243" s="3">
        <v>238350</v>
      </c>
      <c r="L243" s="1" t="s">
        <v>20</v>
      </c>
      <c r="M243" s="41">
        <f>(F243+G243+H243)/Table23[[#This Row],[Impressions]]</f>
        <v>5.6026851269142017E-2</v>
      </c>
    </row>
    <row r="244" spans="1:13" ht="17.399999999999999" customHeight="1" thickBot="1" x14ac:dyDescent="0.35">
      <c r="A244" s="1" t="s">
        <v>267</v>
      </c>
      <c r="B244" s="1" t="s">
        <v>13</v>
      </c>
      <c r="C244" s="5">
        <v>45918</v>
      </c>
      <c r="D244" s="1" t="s">
        <v>17</v>
      </c>
      <c r="E244" s="1" t="s">
        <v>15</v>
      </c>
      <c r="F244" s="3">
        <v>4048</v>
      </c>
      <c r="G244" s="3">
        <v>677</v>
      </c>
      <c r="H244" s="3">
        <v>911</v>
      </c>
      <c r="I244" s="3">
        <v>2429</v>
      </c>
      <c r="J244" s="3">
        <v>27361</v>
      </c>
      <c r="K244" s="3">
        <v>101272</v>
      </c>
      <c r="L244" s="1" t="s">
        <v>26</v>
      </c>
      <c r="M244" s="41">
        <f>(F244+G244+H244)/Table23[[#This Row],[Impressions]]</f>
        <v>5.5652105221581483E-2</v>
      </c>
    </row>
    <row r="245" spans="1:13" ht="17.399999999999999" customHeight="1" thickBot="1" x14ac:dyDescent="0.35">
      <c r="A245" s="1" t="s">
        <v>268</v>
      </c>
      <c r="B245" s="1" t="s">
        <v>6</v>
      </c>
      <c r="C245" s="2">
        <v>45544</v>
      </c>
      <c r="D245" s="1" t="s">
        <v>2</v>
      </c>
      <c r="E245" s="1" t="s">
        <v>34</v>
      </c>
      <c r="F245" s="3">
        <v>6158</v>
      </c>
      <c r="G245" s="3">
        <v>277</v>
      </c>
      <c r="H245" s="3">
        <v>512</v>
      </c>
      <c r="I245" s="3">
        <v>2189</v>
      </c>
      <c r="J245" s="3">
        <v>76881</v>
      </c>
      <c r="K245" s="3">
        <v>124878</v>
      </c>
      <c r="L245" s="1" t="s">
        <v>9</v>
      </c>
      <c r="M245" s="41">
        <f>(F245+G245+H245)/Table23[[#This Row],[Impressions]]</f>
        <v>5.563029516808405E-2</v>
      </c>
    </row>
    <row r="246" spans="1:13" ht="17.399999999999999" customHeight="1" thickBot="1" x14ac:dyDescent="0.35">
      <c r="A246" s="1" t="s">
        <v>269</v>
      </c>
      <c r="B246" s="1" t="s">
        <v>13</v>
      </c>
      <c r="C246" s="5">
        <v>45926</v>
      </c>
      <c r="D246" s="1" t="s">
        <v>17</v>
      </c>
      <c r="E246" s="1" t="s">
        <v>8</v>
      </c>
      <c r="F246" s="3">
        <v>9043</v>
      </c>
      <c r="G246" s="3">
        <v>1192</v>
      </c>
      <c r="H246" s="3">
        <v>810</v>
      </c>
      <c r="I246" s="3">
        <v>1550</v>
      </c>
      <c r="J246" s="3">
        <v>5221</v>
      </c>
      <c r="K246" s="3">
        <v>199476</v>
      </c>
      <c r="L246" s="1" t="s">
        <v>26</v>
      </c>
      <c r="M246" s="41">
        <f>(F246+G246+H246)/Table23[[#This Row],[Impressions]]</f>
        <v>5.5370069582305642E-2</v>
      </c>
    </row>
    <row r="247" spans="1:13" ht="17.399999999999999" customHeight="1" thickBot="1" x14ac:dyDescent="0.35">
      <c r="A247" s="1" t="s">
        <v>270</v>
      </c>
      <c r="B247" s="1" t="s">
        <v>1</v>
      </c>
      <c r="C247" s="2">
        <v>45724</v>
      </c>
      <c r="D247" s="1" t="s">
        <v>7</v>
      </c>
      <c r="E247" s="1" t="s">
        <v>25</v>
      </c>
      <c r="F247" s="3">
        <v>10580</v>
      </c>
      <c r="G247" s="3">
        <v>427</v>
      </c>
      <c r="H247" s="3">
        <v>790</v>
      </c>
      <c r="I247" s="3">
        <v>2814</v>
      </c>
      <c r="J247" s="3">
        <v>24916</v>
      </c>
      <c r="K247" s="3">
        <v>213312</v>
      </c>
      <c r="L247" s="1" t="s">
        <v>18</v>
      </c>
      <c r="M247" s="41">
        <f>(F247+G247+H247)/Table23[[#This Row],[Impressions]]</f>
        <v>5.530396789678968E-2</v>
      </c>
    </row>
    <row r="248" spans="1:13" ht="17.399999999999999" customHeight="1" thickBot="1" x14ac:dyDescent="0.35">
      <c r="A248" s="1" t="s">
        <v>271</v>
      </c>
      <c r="B248" s="1" t="s">
        <v>22</v>
      </c>
      <c r="C248" s="2">
        <v>45586</v>
      </c>
      <c r="D248" s="1" t="s">
        <v>2</v>
      </c>
      <c r="E248" s="1" t="s">
        <v>23</v>
      </c>
      <c r="F248" s="3">
        <v>8254</v>
      </c>
      <c r="G248" s="3">
        <v>1405</v>
      </c>
      <c r="H248" s="3">
        <v>165</v>
      </c>
      <c r="I248" s="3">
        <v>2504</v>
      </c>
      <c r="J248" s="3">
        <v>8081</v>
      </c>
      <c r="K248" s="3">
        <v>177710</v>
      </c>
      <c r="L248" s="1" t="s">
        <v>4</v>
      </c>
      <c r="M248" s="41">
        <f>(F248+G248+H248)/Table23[[#This Row],[Impressions]]</f>
        <v>5.5281075910190762E-2</v>
      </c>
    </row>
    <row r="249" spans="1:13" ht="17.399999999999999" customHeight="1" thickBot="1" x14ac:dyDescent="0.35">
      <c r="A249" s="1" t="s">
        <v>272</v>
      </c>
      <c r="B249" s="1" t="s">
        <v>22</v>
      </c>
      <c r="C249" s="2">
        <v>45791</v>
      </c>
      <c r="D249" s="1" t="s">
        <v>14</v>
      </c>
      <c r="E249" s="1" t="s">
        <v>15</v>
      </c>
      <c r="F249" s="3">
        <v>9041</v>
      </c>
      <c r="G249" s="3">
        <v>1133</v>
      </c>
      <c r="H249" s="3">
        <v>612</v>
      </c>
      <c r="I249" s="3">
        <v>1687</v>
      </c>
      <c r="J249" s="3">
        <v>28102</v>
      </c>
      <c r="K249" s="3">
        <v>195683</v>
      </c>
      <c r="L249" s="1" t="s">
        <v>9</v>
      </c>
      <c r="M249" s="41">
        <f>(F249+G249+H249)/Table23[[#This Row],[Impressions]]</f>
        <v>5.5119760020032396E-2</v>
      </c>
    </row>
    <row r="250" spans="1:13" ht="17.399999999999999" customHeight="1" thickBot="1" x14ac:dyDescent="0.35">
      <c r="A250" s="1" t="s">
        <v>273</v>
      </c>
      <c r="B250" s="1" t="s">
        <v>1</v>
      </c>
      <c r="C250" s="5">
        <v>45929</v>
      </c>
      <c r="D250" s="1" t="s">
        <v>2</v>
      </c>
      <c r="E250" s="1" t="s">
        <v>45</v>
      </c>
      <c r="F250" s="3">
        <v>7569</v>
      </c>
      <c r="G250" s="3">
        <v>803</v>
      </c>
      <c r="H250" s="3">
        <v>804</v>
      </c>
      <c r="I250" s="3">
        <v>1753</v>
      </c>
      <c r="J250" s="3">
        <v>43582</v>
      </c>
      <c r="K250" s="3">
        <v>166945</v>
      </c>
      <c r="L250" s="1" t="s">
        <v>26</v>
      </c>
      <c r="M250" s="41">
        <f>(F250+G250+H250)/Table23[[#This Row],[Impressions]]</f>
        <v>5.4964209769684629E-2</v>
      </c>
    </row>
    <row r="251" spans="1:13" ht="17.399999999999999" customHeight="1" thickBot="1" x14ac:dyDescent="0.35">
      <c r="A251" s="1" t="s">
        <v>274</v>
      </c>
      <c r="B251" s="1" t="s">
        <v>13</v>
      </c>
      <c r="C251" s="2">
        <v>45587</v>
      </c>
      <c r="D251" s="1" t="s">
        <v>7</v>
      </c>
      <c r="E251" s="1" t="s">
        <v>34</v>
      </c>
      <c r="F251" s="3">
        <v>7750</v>
      </c>
      <c r="G251" s="3">
        <v>1146</v>
      </c>
      <c r="H251" s="3">
        <v>415</v>
      </c>
      <c r="I251" s="3">
        <v>1411</v>
      </c>
      <c r="J251" s="3">
        <v>85339</v>
      </c>
      <c r="K251" s="3">
        <v>172439</v>
      </c>
      <c r="L251" s="1" t="s">
        <v>20</v>
      </c>
      <c r="M251" s="41">
        <f>(F251+G251+H251)/Table23[[#This Row],[Impressions]]</f>
        <v>5.3995905798572247E-2</v>
      </c>
    </row>
    <row r="252" spans="1:13" ht="17.399999999999999" customHeight="1" thickBot="1" x14ac:dyDescent="0.35">
      <c r="A252" s="1" t="s">
        <v>275</v>
      </c>
      <c r="B252" s="1" t="s">
        <v>13</v>
      </c>
      <c r="C252" s="2">
        <v>45603</v>
      </c>
      <c r="D252" s="1" t="s">
        <v>17</v>
      </c>
      <c r="E252" s="1" t="s">
        <v>58</v>
      </c>
      <c r="F252" s="3">
        <v>11550</v>
      </c>
      <c r="G252" s="3">
        <v>501</v>
      </c>
      <c r="H252" s="3">
        <v>646</v>
      </c>
      <c r="I252" s="3">
        <v>773</v>
      </c>
      <c r="J252" s="3">
        <v>17841</v>
      </c>
      <c r="K252" s="3">
        <v>237576</v>
      </c>
      <c r="L252" s="1" t="s">
        <v>9</v>
      </c>
      <c r="M252" s="41">
        <f>(F252+G252+H252)/Table23[[#This Row],[Impressions]]</f>
        <v>5.3443950567397383E-2</v>
      </c>
    </row>
    <row r="253" spans="1:13" ht="17.399999999999999" customHeight="1" thickBot="1" x14ac:dyDescent="0.35">
      <c r="A253" s="1" t="s">
        <v>276</v>
      </c>
      <c r="B253" s="1" t="s">
        <v>1</v>
      </c>
      <c r="C253" s="2">
        <v>45713</v>
      </c>
      <c r="D253" s="1" t="s">
        <v>17</v>
      </c>
      <c r="E253" s="1" t="s">
        <v>45</v>
      </c>
      <c r="F253" s="3">
        <v>10702</v>
      </c>
      <c r="G253" s="3">
        <v>621</v>
      </c>
      <c r="H253" s="3">
        <v>445</v>
      </c>
      <c r="I253" s="3">
        <v>2918</v>
      </c>
      <c r="J253" s="3">
        <v>54808</v>
      </c>
      <c r="K253" s="3">
        <v>220225</v>
      </c>
      <c r="L253" s="1" t="s">
        <v>4</v>
      </c>
      <c r="M253" s="41">
        <f>(F253+G253+H253)/Table23[[#This Row],[Impressions]]</f>
        <v>5.3436258372119426E-2</v>
      </c>
    </row>
    <row r="254" spans="1:13" ht="17.399999999999999" customHeight="1" thickBot="1" x14ac:dyDescent="0.35">
      <c r="A254" s="1" t="s">
        <v>277</v>
      </c>
      <c r="B254" s="1" t="s">
        <v>6</v>
      </c>
      <c r="C254" s="2">
        <v>45494</v>
      </c>
      <c r="D254" s="1" t="s">
        <v>7</v>
      </c>
      <c r="E254" s="1" t="s">
        <v>29</v>
      </c>
      <c r="F254" s="3">
        <v>2009</v>
      </c>
      <c r="G254" s="3">
        <v>1072</v>
      </c>
      <c r="H254" s="3">
        <v>550</v>
      </c>
      <c r="I254" s="3">
        <v>1437</v>
      </c>
      <c r="J254" s="3">
        <v>22982</v>
      </c>
      <c r="K254" s="3">
        <v>69426</v>
      </c>
      <c r="L254" s="1" t="s">
        <v>9</v>
      </c>
      <c r="M254" s="41">
        <f>(F254+G254+H254)/Table23[[#This Row],[Impressions]]</f>
        <v>5.2300290957278256E-2</v>
      </c>
    </row>
    <row r="255" spans="1:13" ht="17.399999999999999" customHeight="1" thickBot="1" x14ac:dyDescent="0.35">
      <c r="A255" s="1" t="s">
        <v>278</v>
      </c>
      <c r="B255" s="1" t="s">
        <v>6</v>
      </c>
      <c r="C255" s="2">
        <v>45601</v>
      </c>
      <c r="D255" s="1" t="s">
        <v>7</v>
      </c>
      <c r="E255" s="1" t="s">
        <v>37</v>
      </c>
      <c r="F255" s="3">
        <v>8469</v>
      </c>
      <c r="G255" s="3">
        <v>935</v>
      </c>
      <c r="H255" s="3">
        <v>211</v>
      </c>
      <c r="I255" s="3">
        <v>2635</v>
      </c>
      <c r="J255" s="3">
        <v>21890</v>
      </c>
      <c r="K255" s="3">
        <v>184539</v>
      </c>
      <c r="L255" s="1" t="s">
        <v>18</v>
      </c>
      <c r="M255" s="41">
        <f>(F255+G255+H255)/Table23[[#This Row],[Impressions]]</f>
        <v>5.2102807536618279E-2</v>
      </c>
    </row>
    <row r="256" spans="1:13" ht="17.399999999999999" customHeight="1" thickBot="1" x14ac:dyDescent="0.35">
      <c r="A256" s="1" t="s">
        <v>279</v>
      </c>
      <c r="B256" s="1" t="s">
        <v>6</v>
      </c>
      <c r="C256" s="2">
        <v>45534</v>
      </c>
      <c r="D256" s="1" t="s">
        <v>17</v>
      </c>
      <c r="E256" s="1" t="s">
        <v>29</v>
      </c>
      <c r="F256" s="3">
        <v>6804</v>
      </c>
      <c r="G256" s="3">
        <v>787</v>
      </c>
      <c r="H256" s="3">
        <v>970</v>
      </c>
      <c r="I256" s="3">
        <v>1095</v>
      </c>
      <c r="J256" s="3">
        <v>56343</v>
      </c>
      <c r="K256" s="3">
        <v>164677</v>
      </c>
      <c r="L256" s="1" t="s">
        <v>4</v>
      </c>
      <c r="M256" s="41">
        <f>(F256+G256+H256)/Table23[[#This Row],[Impressions]]</f>
        <v>5.1986616224487935E-2</v>
      </c>
    </row>
    <row r="257" spans="1:13" ht="17.399999999999999" customHeight="1" thickBot="1" x14ac:dyDescent="0.35">
      <c r="A257" s="1" t="s">
        <v>280</v>
      </c>
      <c r="B257" s="1" t="s">
        <v>22</v>
      </c>
      <c r="C257" s="2">
        <v>45642</v>
      </c>
      <c r="D257" s="1" t="s">
        <v>14</v>
      </c>
      <c r="E257" s="1" t="s">
        <v>23</v>
      </c>
      <c r="F257" s="3">
        <v>2384</v>
      </c>
      <c r="G257" s="3">
        <v>1246</v>
      </c>
      <c r="H257" s="3">
        <v>160</v>
      </c>
      <c r="I257" s="3">
        <v>2004</v>
      </c>
      <c r="J257" s="3">
        <v>2701</v>
      </c>
      <c r="K257" s="3">
        <v>73142</v>
      </c>
      <c r="L257" s="1" t="s">
        <v>4</v>
      </c>
      <c r="M257" s="41">
        <f>(F257+G257+H257)/Table23[[#This Row],[Impressions]]</f>
        <v>5.1817013480626728E-2</v>
      </c>
    </row>
    <row r="258" spans="1:13" ht="17.399999999999999" customHeight="1" thickBot="1" x14ac:dyDescent="0.35">
      <c r="A258" s="1" t="s">
        <v>281</v>
      </c>
      <c r="B258" s="1" t="s">
        <v>22</v>
      </c>
      <c r="C258" s="2">
        <v>45715</v>
      </c>
      <c r="D258" s="1" t="s">
        <v>14</v>
      </c>
      <c r="E258" s="1" t="s">
        <v>3</v>
      </c>
      <c r="F258" s="3">
        <v>8970</v>
      </c>
      <c r="G258" s="3">
        <v>331</v>
      </c>
      <c r="H258" s="3">
        <v>968</v>
      </c>
      <c r="I258" s="3">
        <v>2296</v>
      </c>
      <c r="J258" s="3">
        <v>24613</v>
      </c>
      <c r="K258" s="3">
        <v>198562</v>
      </c>
      <c r="L258" s="1" t="s">
        <v>9</v>
      </c>
      <c r="M258" s="41">
        <f>(F258+G258+H258)/Table23[[#This Row],[Impressions]]</f>
        <v>5.1716844109144754E-2</v>
      </c>
    </row>
    <row r="259" spans="1:13" ht="17.399999999999999" customHeight="1" thickBot="1" x14ac:dyDescent="0.35">
      <c r="A259" s="1" t="s">
        <v>282</v>
      </c>
      <c r="B259" s="1" t="s">
        <v>6</v>
      </c>
      <c r="C259" s="2">
        <v>45754</v>
      </c>
      <c r="D259" s="1" t="s">
        <v>17</v>
      </c>
      <c r="E259" s="1" t="s">
        <v>45</v>
      </c>
      <c r="F259" s="3">
        <v>3062</v>
      </c>
      <c r="G259" s="3">
        <v>1124</v>
      </c>
      <c r="H259" s="3">
        <v>538</v>
      </c>
      <c r="I259" s="3">
        <v>2935</v>
      </c>
      <c r="J259" s="3">
        <v>69749</v>
      </c>
      <c r="K259" s="3">
        <v>91924</v>
      </c>
      <c r="L259" s="1" t="s">
        <v>9</v>
      </c>
      <c r="M259" s="41">
        <f>(F259+G259+H259)/Table23[[#This Row],[Impressions]]</f>
        <v>5.1390278926069365E-2</v>
      </c>
    </row>
    <row r="260" spans="1:13" ht="17.399999999999999" customHeight="1" thickBot="1" x14ac:dyDescent="0.35">
      <c r="A260" s="1" t="s">
        <v>283</v>
      </c>
      <c r="B260" s="1" t="s">
        <v>22</v>
      </c>
      <c r="C260" s="2">
        <v>45592</v>
      </c>
      <c r="D260" s="1" t="s">
        <v>17</v>
      </c>
      <c r="E260" s="1" t="s">
        <v>11</v>
      </c>
      <c r="F260" s="3">
        <v>7560</v>
      </c>
      <c r="G260" s="3">
        <v>1139</v>
      </c>
      <c r="H260" s="3">
        <v>248</v>
      </c>
      <c r="I260" s="3">
        <v>1624</v>
      </c>
      <c r="J260" s="3">
        <v>72237</v>
      </c>
      <c r="K260" s="3">
        <v>177084</v>
      </c>
      <c r="L260" s="1" t="s">
        <v>20</v>
      </c>
      <c r="M260" s="41">
        <f>(F260+G260+H260)/Table23[[#This Row],[Impressions]]</f>
        <v>5.0524045085947912E-2</v>
      </c>
    </row>
    <row r="261" spans="1:13" ht="17.399999999999999" customHeight="1" thickBot="1" x14ac:dyDescent="0.35">
      <c r="A261" s="1" t="s">
        <v>284</v>
      </c>
      <c r="B261" s="1" t="s">
        <v>1</v>
      </c>
      <c r="C261" s="2">
        <v>45685</v>
      </c>
      <c r="D261" s="1" t="s">
        <v>17</v>
      </c>
      <c r="E261" s="1" t="s">
        <v>3</v>
      </c>
      <c r="F261" s="3">
        <v>9943</v>
      </c>
      <c r="G261" s="3">
        <v>1274</v>
      </c>
      <c r="H261" s="3">
        <v>336</v>
      </c>
      <c r="I261" s="3">
        <v>389</v>
      </c>
      <c r="J261" s="3">
        <v>6145</v>
      </c>
      <c r="K261" s="3">
        <v>231305</v>
      </c>
      <c r="L261" s="1" t="s">
        <v>4</v>
      </c>
      <c r="M261" s="41">
        <f>(F261+G261+H261)/Table23[[#This Row],[Impressions]]</f>
        <v>4.9947039623008581E-2</v>
      </c>
    </row>
    <row r="262" spans="1:13" ht="17.399999999999999" customHeight="1" thickBot="1" x14ac:dyDescent="0.35">
      <c r="A262" s="1" t="s">
        <v>285</v>
      </c>
      <c r="B262" s="1" t="s">
        <v>1</v>
      </c>
      <c r="C262" s="2">
        <v>45657</v>
      </c>
      <c r="D262" s="1" t="s">
        <v>14</v>
      </c>
      <c r="E262" s="1" t="s">
        <v>11</v>
      </c>
      <c r="F262" s="3">
        <v>10717</v>
      </c>
      <c r="G262" s="3">
        <v>760</v>
      </c>
      <c r="H262" s="3">
        <v>460</v>
      </c>
      <c r="I262" s="3">
        <v>1316</v>
      </c>
      <c r="J262" s="3">
        <v>18164</v>
      </c>
      <c r="K262" s="3">
        <v>240641</v>
      </c>
      <c r="L262" s="1" t="s">
        <v>18</v>
      </c>
      <c r="M262" s="41">
        <f>(F262+G262+H262)/Table23[[#This Row],[Impressions]]</f>
        <v>4.9605013277039242E-2</v>
      </c>
    </row>
    <row r="263" spans="1:13" ht="17.399999999999999" customHeight="1" thickBot="1" x14ac:dyDescent="0.35">
      <c r="A263" s="1" t="s">
        <v>286</v>
      </c>
      <c r="B263" s="1" t="s">
        <v>6</v>
      </c>
      <c r="C263" s="2">
        <v>45744</v>
      </c>
      <c r="D263" s="1" t="s">
        <v>7</v>
      </c>
      <c r="E263" s="1" t="s">
        <v>11</v>
      </c>
      <c r="F263" s="3">
        <v>6363</v>
      </c>
      <c r="G263" s="3">
        <v>1341</v>
      </c>
      <c r="H263" s="3">
        <v>222</v>
      </c>
      <c r="I263" s="3">
        <v>2712</v>
      </c>
      <c r="J263" s="3">
        <v>19987</v>
      </c>
      <c r="K263" s="3">
        <v>160585</v>
      </c>
      <c r="L263" s="1" t="s">
        <v>20</v>
      </c>
      <c r="M263" s="41">
        <f>(F263+G263+H263)/Table23[[#This Row],[Impressions]]</f>
        <v>4.9357038328611019E-2</v>
      </c>
    </row>
    <row r="264" spans="1:13" ht="17.399999999999999" customHeight="1" thickBot="1" x14ac:dyDescent="0.35">
      <c r="A264" s="1" t="s">
        <v>287</v>
      </c>
      <c r="B264" s="1" t="s">
        <v>1</v>
      </c>
      <c r="C264" s="2">
        <v>45564</v>
      </c>
      <c r="D264" s="1" t="s">
        <v>17</v>
      </c>
      <c r="E264" s="1" t="s">
        <v>29</v>
      </c>
      <c r="F264" s="3">
        <v>10472</v>
      </c>
      <c r="G264" s="3">
        <v>401</v>
      </c>
      <c r="H264" s="3">
        <v>668</v>
      </c>
      <c r="I264" s="3">
        <v>383</v>
      </c>
      <c r="J264" s="3">
        <v>37571</v>
      </c>
      <c r="K264" s="3">
        <v>249203</v>
      </c>
      <c r="L264" s="1" t="s">
        <v>20</v>
      </c>
      <c r="M264" s="41">
        <f>(F264+G264+H264)/Table23[[#This Row],[Impressions]]</f>
        <v>4.6311641513143903E-2</v>
      </c>
    </row>
    <row r="265" spans="1:13" ht="17.399999999999999" customHeight="1" thickBot="1" x14ac:dyDescent="0.35">
      <c r="A265" s="1" t="s">
        <v>288</v>
      </c>
      <c r="B265" s="1" t="s">
        <v>22</v>
      </c>
      <c r="C265" s="2">
        <v>45530</v>
      </c>
      <c r="D265" s="1" t="s">
        <v>17</v>
      </c>
      <c r="E265" s="1" t="s">
        <v>25</v>
      </c>
      <c r="F265" s="3">
        <v>4193</v>
      </c>
      <c r="G265" s="3">
        <v>924</v>
      </c>
      <c r="H265" s="3">
        <v>707</v>
      </c>
      <c r="I265" s="3">
        <v>2696</v>
      </c>
      <c r="J265" s="3">
        <v>55075</v>
      </c>
      <c r="K265" s="3">
        <v>126652</v>
      </c>
      <c r="L265" s="1" t="s">
        <v>9</v>
      </c>
      <c r="M265" s="41">
        <f>(F265+G265+H265)/Table23[[#This Row],[Impressions]]</f>
        <v>4.5984271863057827E-2</v>
      </c>
    </row>
    <row r="266" spans="1:13" ht="17.399999999999999" customHeight="1" thickBot="1" x14ac:dyDescent="0.35">
      <c r="A266" s="1" t="s">
        <v>289</v>
      </c>
      <c r="B266" s="1" t="s">
        <v>22</v>
      </c>
      <c r="C266" s="2">
        <v>45762</v>
      </c>
      <c r="D266" s="1" t="s">
        <v>17</v>
      </c>
      <c r="E266" s="1" t="s">
        <v>34</v>
      </c>
      <c r="F266" s="3">
        <v>5419</v>
      </c>
      <c r="G266" s="3">
        <v>1150</v>
      </c>
      <c r="H266" s="3">
        <v>656</v>
      </c>
      <c r="I266" s="3">
        <v>1990</v>
      </c>
      <c r="J266" s="3">
        <v>410</v>
      </c>
      <c r="K266" s="3">
        <v>158154</v>
      </c>
      <c r="L266" s="1" t="s">
        <v>20</v>
      </c>
      <c r="M266" s="41">
        <f>(F266+G266+H266)/Table23[[#This Row],[Impressions]]</f>
        <v>4.5683321319726342E-2</v>
      </c>
    </row>
    <row r="267" spans="1:13" ht="17.399999999999999" customHeight="1" thickBot="1" x14ac:dyDescent="0.35">
      <c r="A267" s="1" t="s">
        <v>290</v>
      </c>
      <c r="B267" s="1" t="s">
        <v>1</v>
      </c>
      <c r="C267" s="2">
        <v>45516</v>
      </c>
      <c r="D267" s="1" t="s">
        <v>17</v>
      </c>
      <c r="E267" s="1" t="s">
        <v>29</v>
      </c>
      <c r="F267" s="3">
        <v>8376</v>
      </c>
      <c r="G267" s="3">
        <v>1154</v>
      </c>
      <c r="H267" s="3">
        <v>422</v>
      </c>
      <c r="I267" s="3">
        <v>1907</v>
      </c>
      <c r="J267" s="3">
        <v>36874</v>
      </c>
      <c r="K267" s="3">
        <v>218486</v>
      </c>
      <c r="L267" s="1" t="s">
        <v>20</v>
      </c>
      <c r="M267" s="41">
        <f>(F267+G267+H267)/Table23[[#This Row],[Impressions]]</f>
        <v>4.5549829279679245E-2</v>
      </c>
    </row>
    <row r="268" spans="1:13" ht="17.399999999999999" customHeight="1" thickBot="1" x14ac:dyDescent="0.35">
      <c r="A268" s="1" t="s">
        <v>291</v>
      </c>
      <c r="B268" s="1" t="s">
        <v>13</v>
      </c>
      <c r="C268" s="2">
        <v>45786</v>
      </c>
      <c r="D268" s="1" t="s">
        <v>17</v>
      </c>
      <c r="E268" s="1" t="s">
        <v>25</v>
      </c>
      <c r="F268" s="3">
        <v>8988</v>
      </c>
      <c r="G268" s="3">
        <v>228</v>
      </c>
      <c r="H268" s="3">
        <v>766</v>
      </c>
      <c r="I268" s="3">
        <v>652</v>
      </c>
      <c r="J268" s="3">
        <v>63789</v>
      </c>
      <c r="K268" s="3">
        <v>219785</v>
      </c>
      <c r="L268" s="1" t="s">
        <v>20</v>
      </c>
      <c r="M268" s="41">
        <f>(F268+G268+H268)/Table23[[#This Row],[Impressions]]</f>
        <v>4.541711217781013E-2</v>
      </c>
    </row>
    <row r="269" spans="1:13" ht="17.399999999999999" customHeight="1" thickBot="1" x14ac:dyDescent="0.35">
      <c r="A269" s="1" t="s">
        <v>292</v>
      </c>
      <c r="B269" s="1" t="s">
        <v>6</v>
      </c>
      <c r="C269" s="5">
        <v>45924</v>
      </c>
      <c r="D269" s="1" t="s">
        <v>7</v>
      </c>
      <c r="E269" s="1" t="s">
        <v>58</v>
      </c>
      <c r="F269" s="3">
        <v>3342</v>
      </c>
      <c r="G269" s="3">
        <v>787</v>
      </c>
      <c r="H269" s="3">
        <v>375</v>
      </c>
      <c r="I269" s="3">
        <v>907</v>
      </c>
      <c r="J269" s="3">
        <v>85823</v>
      </c>
      <c r="K269" s="3">
        <v>99189</v>
      </c>
      <c r="L269" s="1" t="s">
        <v>26</v>
      </c>
      <c r="M269" s="41">
        <f>(F269+G269+H269)/Table23[[#This Row],[Impressions]]</f>
        <v>4.5408260996683103E-2</v>
      </c>
    </row>
    <row r="270" spans="1:13" ht="17.399999999999999" customHeight="1" thickBot="1" x14ac:dyDescent="0.35">
      <c r="A270" s="1" t="s">
        <v>293</v>
      </c>
      <c r="B270" s="1" t="s">
        <v>13</v>
      </c>
      <c r="C270" s="2">
        <v>45446</v>
      </c>
      <c r="D270" s="1" t="s">
        <v>14</v>
      </c>
      <c r="E270" s="1" t="s">
        <v>15</v>
      </c>
      <c r="F270" s="3">
        <v>8941</v>
      </c>
      <c r="G270" s="3">
        <v>911</v>
      </c>
      <c r="H270" s="3">
        <v>166</v>
      </c>
      <c r="I270" s="3">
        <v>1217</v>
      </c>
      <c r="J270" s="3">
        <v>68817</v>
      </c>
      <c r="K270" s="3">
        <v>221180</v>
      </c>
      <c r="L270" s="1" t="s">
        <v>18</v>
      </c>
      <c r="M270" s="41">
        <f>(F270+G270+H270)/Table23[[#This Row],[Impressions]]</f>
        <v>4.5293426168731353E-2</v>
      </c>
    </row>
    <row r="271" spans="1:13" ht="17.399999999999999" customHeight="1" thickBot="1" x14ac:dyDescent="0.35">
      <c r="A271" s="1" t="s">
        <v>294</v>
      </c>
      <c r="B271" s="1" t="s">
        <v>22</v>
      </c>
      <c r="C271" s="5">
        <v>45931</v>
      </c>
      <c r="D271" s="1" t="s">
        <v>17</v>
      </c>
      <c r="E271" s="1" t="s">
        <v>8</v>
      </c>
      <c r="F271" s="3">
        <v>6188</v>
      </c>
      <c r="G271" s="3">
        <v>774</v>
      </c>
      <c r="H271" s="3">
        <v>647</v>
      </c>
      <c r="I271" s="3">
        <v>1830</v>
      </c>
      <c r="J271" s="3">
        <v>55436</v>
      </c>
      <c r="K271" s="3">
        <v>175542</v>
      </c>
      <c r="L271" s="1" t="s">
        <v>26</v>
      </c>
      <c r="M271" s="41">
        <f>(F271+G271+H271)/Table23[[#This Row],[Impressions]]</f>
        <v>4.3345752013763089E-2</v>
      </c>
    </row>
    <row r="272" spans="1:13" ht="17.399999999999999" customHeight="1" thickBot="1" x14ac:dyDescent="0.35">
      <c r="A272" s="1" t="s">
        <v>295</v>
      </c>
      <c r="B272" s="1" t="s">
        <v>22</v>
      </c>
      <c r="C272" s="2">
        <v>45705</v>
      </c>
      <c r="D272" s="1" t="s">
        <v>7</v>
      </c>
      <c r="E272" s="1" t="s">
        <v>29</v>
      </c>
      <c r="F272" s="3">
        <v>7989</v>
      </c>
      <c r="G272" s="3">
        <v>1206</v>
      </c>
      <c r="H272" s="3">
        <v>376</v>
      </c>
      <c r="I272" s="3">
        <v>2769</v>
      </c>
      <c r="J272" s="3">
        <v>27550</v>
      </c>
      <c r="K272" s="3">
        <v>221749</v>
      </c>
      <c r="L272" s="1" t="s">
        <v>20</v>
      </c>
      <c r="M272" s="41">
        <f>(F272+G272+H272)/Table23[[#This Row],[Impressions]]</f>
        <v>4.3161412227338117E-2</v>
      </c>
    </row>
    <row r="273" spans="1:13" ht="17.399999999999999" customHeight="1" thickBot="1" x14ac:dyDescent="0.35">
      <c r="A273" s="1" t="s">
        <v>296</v>
      </c>
      <c r="B273" s="1" t="s">
        <v>13</v>
      </c>
      <c r="C273" s="2">
        <v>45749</v>
      </c>
      <c r="D273" s="1" t="s">
        <v>7</v>
      </c>
      <c r="E273" s="1" t="s">
        <v>58</v>
      </c>
      <c r="F273" s="3">
        <v>6858</v>
      </c>
      <c r="G273" s="3">
        <v>415</v>
      </c>
      <c r="H273" s="3">
        <v>366</v>
      </c>
      <c r="I273" s="3">
        <v>2761</v>
      </c>
      <c r="J273" s="3">
        <v>2988</v>
      </c>
      <c r="K273" s="3">
        <v>177348</v>
      </c>
      <c r="L273" s="1" t="s">
        <v>4</v>
      </c>
      <c r="M273" s="41">
        <f>(F273+G273+H273)/Table23[[#This Row],[Impressions]]</f>
        <v>4.3073505198818141E-2</v>
      </c>
    </row>
    <row r="274" spans="1:13" ht="17.399999999999999" customHeight="1" thickBot="1" x14ac:dyDescent="0.35">
      <c r="A274" s="1" t="s">
        <v>297</v>
      </c>
      <c r="B274" s="1" t="s">
        <v>22</v>
      </c>
      <c r="C274" s="2">
        <v>45741</v>
      </c>
      <c r="D274" s="1" t="s">
        <v>17</v>
      </c>
      <c r="E274" s="1" t="s">
        <v>34</v>
      </c>
      <c r="F274" s="3">
        <v>5900</v>
      </c>
      <c r="G274" s="3">
        <v>546</v>
      </c>
      <c r="H274" s="3">
        <v>592</v>
      </c>
      <c r="I274" s="3">
        <v>1594</v>
      </c>
      <c r="J274" s="3">
        <v>38627</v>
      </c>
      <c r="K274" s="3">
        <v>164398</v>
      </c>
      <c r="L274" s="1" t="s">
        <v>18</v>
      </c>
      <c r="M274" s="41">
        <f>(F274+G274+H274)/Table23[[#This Row],[Impressions]]</f>
        <v>4.2810739790021778E-2</v>
      </c>
    </row>
    <row r="275" spans="1:13" ht="17.399999999999999" customHeight="1" thickBot="1" x14ac:dyDescent="0.35">
      <c r="A275" s="1" t="s">
        <v>298</v>
      </c>
      <c r="B275" s="1" t="s">
        <v>1</v>
      </c>
      <c r="C275" s="2">
        <v>45655</v>
      </c>
      <c r="D275" s="1" t="s">
        <v>17</v>
      </c>
      <c r="E275" s="1" t="s">
        <v>37</v>
      </c>
      <c r="F275" s="3">
        <v>8288</v>
      </c>
      <c r="G275" s="3">
        <v>1401</v>
      </c>
      <c r="H275" s="3">
        <v>819</v>
      </c>
      <c r="I275" s="3">
        <v>1235</v>
      </c>
      <c r="J275" s="3">
        <v>33446</v>
      </c>
      <c r="K275" s="3">
        <v>248786</v>
      </c>
      <c r="L275" s="1" t="s">
        <v>4</v>
      </c>
      <c r="M275" s="41">
        <f>(F275+G275+H275)/Table23[[#This Row],[Impressions]]</f>
        <v>4.2237103373984064E-2</v>
      </c>
    </row>
    <row r="276" spans="1:13" ht="17.399999999999999" customHeight="1" thickBot="1" x14ac:dyDescent="0.35">
      <c r="A276" s="1" t="s">
        <v>299</v>
      </c>
      <c r="B276" s="1" t="s">
        <v>1</v>
      </c>
      <c r="C276" s="2">
        <v>45658</v>
      </c>
      <c r="D276" s="1" t="s">
        <v>2</v>
      </c>
      <c r="E276" s="1" t="s">
        <v>3</v>
      </c>
      <c r="F276" s="3">
        <v>8283</v>
      </c>
      <c r="G276" s="3">
        <v>720</v>
      </c>
      <c r="H276" s="3">
        <v>888</v>
      </c>
      <c r="I276" s="3">
        <v>611</v>
      </c>
      <c r="J276" s="3">
        <v>52791</v>
      </c>
      <c r="K276" s="3">
        <v>235229</v>
      </c>
      <c r="L276" s="1" t="s">
        <v>4</v>
      </c>
      <c r="M276" s="41">
        <f>(F276+G276+H276)/Table23[[#This Row],[Impressions]]</f>
        <v>4.2048386891072105E-2</v>
      </c>
    </row>
    <row r="277" spans="1:13" ht="17.399999999999999" customHeight="1" thickBot="1" x14ac:dyDescent="0.35">
      <c r="A277" s="1" t="s">
        <v>300</v>
      </c>
      <c r="B277" s="1" t="s">
        <v>22</v>
      </c>
      <c r="C277" s="2">
        <v>45467</v>
      </c>
      <c r="D277" s="1" t="s">
        <v>14</v>
      </c>
      <c r="E277" s="1" t="s">
        <v>15</v>
      </c>
      <c r="F277" s="3">
        <v>6632</v>
      </c>
      <c r="G277" s="3">
        <v>254</v>
      </c>
      <c r="H277" s="3">
        <v>525</v>
      </c>
      <c r="I277" s="3">
        <v>1013</v>
      </c>
      <c r="J277" s="3">
        <v>13838</v>
      </c>
      <c r="K277" s="3">
        <v>180180</v>
      </c>
      <c r="L277" s="1" t="s">
        <v>4</v>
      </c>
      <c r="M277" s="41">
        <f>(F277+G277+H277)/Table23[[#This Row],[Impressions]]</f>
        <v>4.1131091131091133E-2</v>
      </c>
    </row>
    <row r="278" spans="1:13" ht="17.399999999999999" customHeight="1" thickBot="1" x14ac:dyDescent="0.35">
      <c r="A278" s="1" t="s">
        <v>301</v>
      </c>
      <c r="B278" s="1" t="s">
        <v>6</v>
      </c>
      <c r="C278" s="5">
        <v>45917</v>
      </c>
      <c r="D278" s="1" t="s">
        <v>17</v>
      </c>
      <c r="E278" s="1" t="s">
        <v>3</v>
      </c>
      <c r="F278" s="3">
        <v>2117</v>
      </c>
      <c r="G278" s="3">
        <v>1133</v>
      </c>
      <c r="H278" s="3">
        <v>203</v>
      </c>
      <c r="I278" s="3">
        <v>1173</v>
      </c>
      <c r="J278" s="3">
        <v>40125</v>
      </c>
      <c r="K278" s="3">
        <v>85379</v>
      </c>
      <c r="L278" s="1" t="s">
        <v>26</v>
      </c>
      <c r="M278" s="41">
        <f>(F278+G278+H278)/Table23[[#This Row],[Impressions]]</f>
        <v>4.0443200318579509E-2</v>
      </c>
    </row>
    <row r="279" spans="1:13" ht="17.399999999999999" customHeight="1" thickBot="1" x14ac:dyDescent="0.35">
      <c r="A279" s="1" t="s">
        <v>302</v>
      </c>
      <c r="B279" s="1" t="s">
        <v>6</v>
      </c>
      <c r="C279" s="2">
        <v>45504</v>
      </c>
      <c r="D279" s="1" t="s">
        <v>2</v>
      </c>
      <c r="E279" s="1" t="s">
        <v>34</v>
      </c>
      <c r="F279" s="3">
        <v>7122</v>
      </c>
      <c r="G279" s="3">
        <v>628</v>
      </c>
      <c r="H279" s="3">
        <v>757</v>
      </c>
      <c r="I279" s="3">
        <v>2313</v>
      </c>
      <c r="J279" s="3">
        <v>50924</v>
      </c>
      <c r="K279" s="3">
        <v>210954</v>
      </c>
      <c r="L279" s="1" t="s">
        <v>18</v>
      </c>
      <c r="M279" s="41">
        <f>(F279+G279+H279)/Table23[[#This Row],[Impressions]]</f>
        <v>4.0326327066564277E-2</v>
      </c>
    </row>
    <row r="280" spans="1:13" ht="17.399999999999999" customHeight="1" thickBot="1" x14ac:dyDescent="0.35">
      <c r="A280" s="1" t="s">
        <v>303</v>
      </c>
      <c r="B280" s="1" t="s">
        <v>6</v>
      </c>
      <c r="C280" s="5">
        <v>45922</v>
      </c>
      <c r="D280" s="1" t="s">
        <v>2</v>
      </c>
      <c r="E280" s="1" t="s">
        <v>60</v>
      </c>
      <c r="F280" s="3">
        <v>8996</v>
      </c>
      <c r="G280" s="3">
        <v>329</v>
      </c>
      <c r="H280" s="3">
        <v>378</v>
      </c>
      <c r="I280" s="3">
        <v>2384</v>
      </c>
      <c r="J280" s="3">
        <v>39404</v>
      </c>
      <c r="K280" s="3">
        <v>242724</v>
      </c>
      <c r="L280" s="1" t="s">
        <v>26</v>
      </c>
      <c r="M280" s="41">
        <f>(F280+G280+H280)/Table23[[#This Row],[Impressions]]</f>
        <v>3.9975445361810122E-2</v>
      </c>
    </row>
    <row r="281" spans="1:13" ht="17.399999999999999" customHeight="1" thickBot="1" x14ac:dyDescent="0.35">
      <c r="A281" s="1" t="s">
        <v>304</v>
      </c>
      <c r="B281" s="1" t="s">
        <v>6</v>
      </c>
      <c r="C281" s="5">
        <v>45906</v>
      </c>
      <c r="D281" s="1" t="s">
        <v>7</v>
      </c>
      <c r="E281" s="1" t="s">
        <v>25</v>
      </c>
      <c r="F281" s="3">
        <v>7124</v>
      </c>
      <c r="G281" s="3">
        <v>469</v>
      </c>
      <c r="H281" s="3">
        <v>851</v>
      </c>
      <c r="I281" s="3">
        <v>2571</v>
      </c>
      <c r="J281" s="3">
        <v>33802</v>
      </c>
      <c r="K281" s="3">
        <v>216313</v>
      </c>
      <c r="L281" s="1" t="s">
        <v>26</v>
      </c>
      <c r="M281" s="41">
        <f>(F281+G281+H281)/Table23[[#This Row],[Impressions]]</f>
        <v>3.9036026498638549E-2</v>
      </c>
    </row>
    <row r="282" spans="1:13" ht="17.399999999999999" customHeight="1" thickBot="1" x14ac:dyDescent="0.35">
      <c r="A282" s="1" t="s">
        <v>305</v>
      </c>
      <c r="B282" s="1" t="s">
        <v>22</v>
      </c>
      <c r="C282" s="2">
        <v>45509</v>
      </c>
      <c r="D282" s="1" t="s">
        <v>7</v>
      </c>
      <c r="E282" s="1" t="s">
        <v>25</v>
      </c>
      <c r="F282" s="3">
        <v>4048</v>
      </c>
      <c r="G282" s="3">
        <v>751</v>
      </c>
      <c r="H282" s="3">
        <v>930</v>
      </c>
      <c r="I282" s="3">
        <v>1382</v>
      </c>
      <c r="J282" s="3">
        <v>16844</v>
      </c>
      <c r="K282" s="3">
        <v>148177</v>
      </c>
      <c r="L282" s="1" t="s">
        <v>9</v>
      </c>
      <c r="M282" s="41">
        <f>(F282+G282+H282)/Table23[[#This Row],[Impressions]]</f>
        <v>3.8663220337839206E-2</v>
      </c>
    </row>
    <row r="283" spans="1:13" ht="17.399999999999999" customHeight="1" thickBot="1" x14ac:dyDescent="0.35">
      <c r="A283" s="1" t="s">
        <v>306</v>
      </c>
      <c r="B283" s="1" t="s">
        <v>1</v>
      </c>
      <c r="C283" s="5">
        <v>45933</v>
      </c>
      <c r="D283" s="1" t="s">
        <v>14</v>
      </c>
      <c r="E283" s="1" t="s">
        <v>58</v>
      </c>
      <c r="F283" s="3">
        <v>6777</v>
      </c>
      <c r="G283" s="3">
        <v>617</v>
      </c>
      <c r="H283" s="3">
        <v>551</v>
      </c>
      <c r="I283" s="3">
        <v>2109</v>
      </c>
      <c r="J283" s="3">
        <v>18559</v>
      </c>
      <c r="K283" s="3">
        <v>208452</v>
      </c>
      <c r="L283" s="1" t="s">
        <v>26</v>
      </c>
      <c r="M283" s="41">
        <f>(F283+G283+H283)/Table23[[#This Row],[Impressions]]</f>
        <v>3.8114290100358834E-2</v>
      </c>
    </row>
    <row r="284" spans="1:13" ht="17.399999999999999" customHeight="1" thickBot="1" x14ac:dyDescent="0.35">
      <c r="A284" s="1" t="s">
        <v>307</v>
      </c>
      <c r="B284" s="1" t="s">
        <v>13</v>
      </c>
      <c r="C284" s="5">
        <v>45916</v>
      </c>
      <c r="D284" s="1" t="s">
        <v>7</v>
      </c>
      <c r="E284" s="1" t="s">
        <v>37</v>
      </c>
      <c r="F284" s="3">
        <v>6809</v>
      </c>
      <c r="G284" s="3">
        <v>397</v>
      </c>
      <c r="H284" s="3">
        <v>813</v>
      </c>
      <c r="I284" s="3">
        <v>1125</v>
      </c>
      <c r="J284" s="3">
        <v>12206</v>
      </c>
      <c r="K284" s="3">
        <v>218136</v>
      </c>
      <c r="L284" s="1" t="s">
        <v>26</v>
      </c>
      <c r="M284" s="41">
        <f>(F284+G284+H284)/Table23[[#This Row],[Impressions]]</f>
        <v>3.6761469908680823E-2</v>
      </c>
    </row>
    <row r="285" spans="1:13" ht="17.399999999999999" customHeight="1" thickBot="1" x14ac:dyDescent="0.35">
      <c r="A285" s="1" t="s">
        <v>308</v>
      </c>
      <c r="B285" s="1" t="s">
        <v>1</v>
      </c>
      <c r="C285" s="2">
        <v>45738</v>
      </c>
      <c r="D285" s="1" t="s">
        <v>2</v>
      </c>
      <c r="E285" s="1" t="s">
        <v>15</v>
      </c>
      <c r="F285" s="3">
        <v>3917</v>
      </c>
      <c r="G285" s="3">
        <v>865</v>
      </c>
      <c r="H285" s="3">
        <v>759</v>
      </c>
      <c r="I285" s="3">
        <v>2282</v>
      </c>
      <c r="J285" s="3">
        <v>56125</v>
      </c>
      <c r="K285" s="3">
        <v>154014</v>
      </c>
      <c r="L285" s="1" t="s">
        <v>4</v>
      </c>
      <c r="M285" s="41">
        <f>(F285+G285+H285)/Table23[[#This Row],[Impressions]]</f>
        <v>3.5977248821535704E-2</v>
      </c>
    </row>
    <row r="286" spans="1:13" ht="17.399999999999999" customHeight="1" thickBot="1" x14ac:dyDescent="0.35">
      <c r="A286" s="1" t="s">
        <v>309</v>
      </c>
      <c r="B286" s="1" t="s">
        <v>13</v>
      </c>
      <c r="C286" s="5">
        <v>45918</v>
      </c>
      <c r="D286" s="1" t="s">
        <v>2</v>
      </c>
      <c r="E286" s="1" t="s">
        <v>3</v>
      </c>
      <c r="F286" s="3">
        <v>3828</v>
      </c>
      <c r="G286" s="3">
        <v>203</v>
      </c>
      <c r="H286" s="3">
        <v>506</v>
      </c>
      <c r="I286" s="3">
        <v>2440</v>
      </c>
      <c r="J286" s="3">
        <v>63650</v>
      </c>
      <c r="K286" s="3">
        <v>126365</v>
      </c>
      <c r="L286" s="1" t="s">
        <v>26</v>
      </c>
      <c r="M286" s="41">
        <f>(F286+G286+H286)/Table23[[#This Row],[Impressions]]</f>
        <v>3.5903929094290347E-2</v>
      </c>
    </row>
    <row r="287" spans="1:13" ht="17.399999999999999" customHeight="1" thickBot="1" x14ac:dyDescent="0.35">
      <c r="A287" s="1" t="s">
        <v>310</v>
      </c>
      <c r="B287" s="1" t="s">
        <v>6</v>
      </c>
      <c r="C287" s="5">
        <v>45940</v>
      </c>
      <c r="D287" s="1" t="s">
        <v>17</v>
      </c>
      <c r="E287" s="1" t="s">
        <v>34</v>
      </c>
      <c r="F287" s="3">
        <v>6621</v>
      </c>
      <c r="G287" s="3">
        <v>922</v>
      </c>
      <c r="H287" s="3">
        <v>930</v>
      </c>
      <c r="I287" s="3">
        <v>694</v>
      </c>
      <c r="J287" s="3">
        <v>839</v>
      </c>
      <c r="K287" s="3">
        <v>243532</v>
      </c>
      <c r="L287" s="1" t="s">
        <v>26</v>
      </c>
      <c r="M287" s="41">
        <f>(F287+G287+H287)/Table23[[#This Row],[Impressions]]</f>
        <v>3.479214230573395E-2</v>
      </c>
    </row>
    <row r="288" spans="1:13" ht="17.399999999999999" customHeight="1" thickBot="1" x14ac:dyDescent="0.35">
      <c r="A288" s="1" t="s">
        <v>311</v>
      </c>
      <c r="B288" s="1" t="s">
        <v>22</v>
      </c>
      <c r="C288" s="5">
        <v>45942</v>
      </c>
      <c r="D288" s="1" t="s">
        <v>17</v>
      </c>
      <c r="E288" s="1" t="s">
        <v>25</v>
      </c>
      <c r="F288" s="3">
        <v>7126</v>
      </c>
      <c r="G288" s="3">
        <v>484</v>
      </c>
      <c r="H288" s="3">
        <v>565</v>
      </c>
      <c r="I288" s="3">
        <v>573</v>
      </c>
      <c r="J288" s="3">
        <v>7389</v>
      </c>
      <c r="K288" s="3">
        <v>237096</v>
      </c>
      <c r="L288" s="1" t="s">
        <v>26</v>
      </c>
      <c r="M288" s="41">
        <f>(F288+G288+H288)/Table23[[#This Row],[Impressions]]</f>
        <v>3.4479704423524646E-2</v>
      </c>
    </row>
    <row r="289" spans="1:13" ht="17.399999999999999" customHeight="1" thickBot="1" x14ac:dyDescent="0.35">
      <c r="A289" s="1" t="s">
        <v>312</v>
      </c>
      <c r="B289" s="1" t="s">
        <v>6</v>
      </c>
      <c r="C289" s="2">
        <v>45502</v>
      </c>
      <c r="D289" s="1" t="s">
        <v>2</v>
      </c>
      <c r="E289" s="1" t="s">
        <v>25</v>
      </c>
      <c r="F289" s="3">
        <v>6164</v>
      </c>
      <c r="G289" s="3">
        <v>326</v>
      </c>
      <c r="H289" s="3">
        <v>615</v>
      </c>
      <c r="I289" s="3">
        <v>2806</v>
      </c>
      <c r="J289" s="3">
        <v>38579</v>
      </c>
      <c r="K289" s="3">
        <v>206129</v>
      </c>
      <c r="L289" s="1" t="s">
        <v>18</v>
      </c>
      <c r="M289" s="41">
        <f>(F289+G289+H289)/Table23[[#This Row],[Impressions]]</f>
        <v>3.4468706489625425E-2</v>
      </c>
    </row>
    <row r="290" spans="1:13" ht="17.399999999999999" customHeight="1" thickBot="1" x14ac:dyDescent="0.35">
      <c r="A290" s="1" t="s">
        <v>313</v>
      </c>
      <c r="B290" s="1" t="s">
        <v>6</v>
      </c>
      <c r="C290" s="2">
        <v>45613</v>
      </c>
      <c r="D290" s="1" t="s">
        <v>17</v>
      </c>
      <c r="E290" s="1" t="s">
        <v>3</v>
      </c>
      <c r="F290" s="3">
        <v>4219</v>
      </c>
      <c r="G290" s="3">
        <v>240</v>
      </c>
      <c r="H290" s="3">
        <v>670</v>
      </c>
      <c r="I290" s="3">
        <v>815</v>
      </c>
      <c r="J290" s="3">
        <v>11978</v>
      </c>
      <c r="K290" s="3">
        <v>159735</v>
      </c>
      <c r="L290" s="1" t="s">
        <v>9</v>
      </c>
      <c r="M290" s="41">
        <f>(F290+G290+H290)/Table23[[#This Row],[Impressions]]</f>
        <v>3.2109431245500357E-2</v>
      </c>
    </row>
    <row r="291" spans="1:13" ht="17.399999999999999" customHeight="1" thickBot="1" x14ac:dyDescent="0.35">
      <c r="A291" s="1" t="s">
        <v>314</v>
      </c>
      <c r="B291" s="1" t="s">
        <v>1</v>
      </c>
      <c r="C291" s="2">
        <v>45577</v>
      </c>
      <c r="D291" s="1" t="s">
        <v>14</v>
      </c>
      <c r="E291" s="1" t="s">
        <v>60</v>
      </c>
      <c r="F291" s="3">
        <v>6208</v>
      </c>
      <c r="G291" s="3">
        <v>725</v>
      </c>
      <c r="H291" s="3">
        <v>309</v>
      </c>
      <c r="I291" s="3">
        <v>848</v>
      </c>
      <c r="J291" s="3">
        <v>39319</v>
      </c>
      <c r="K291" s="3">
        <v>225763</v>
      </c>
      <c r="L291" s="1" t="s">
        <v>4</v>
      </c>
      <c r="M291" s="41">
        <f>(F291+G291+H291)/Table23[[#This Row],[Impressions]]</f>
        <v>3.207788698768177E-2</v>
      </c>
    </row>
    <row r="292" spans="1:13" ht="17.399999999999999" customHeight="1" thickBot="1" x14ac:dyDescent="0.35">
      <c r="A292" s="1" t="s">
        <v>315</v>
      </c>
      <c r="B292" s="1" t="s">
        <v>22</v>
      </c>
      <c r="C292" s="2">
        <v>45531</v>
      </c>
      <c r="D292" s="1" t="s">
        <v>14</v>
      </c>
      <c r="E292" s="1" t="s">
        <v>37</v>
      </c>
      <c r="F292" s="3">
        <v>6324</v>
      </c>
      <c r="G292" s="3">
        <v>908</v>
      </c>
      <c r="H292" s="3">
        <v>375</v>
      </c>
      <c r="I292" s="3">
        <v>758</v>
      </c>
      <c r="J292" s="3">
        <v>34850</v>
      </c>
      <c r="K292" s="3">
        <v>241039</v>
      </c>
      <c r="L292" s="1" t="s">
        <v>4</v>
      </c>
      <c r="M292" s="41">
        <f>(F292+G292+H292)/Table23[[#This Row],[Impressions]]</f>
        <v>3.1559208260903839E-2</v>
      </c>
    </row>
    <row r="293" spans="1:13" ht="17.399999999999999" customHeight="1" thickBot="1" x14ac:dyDescent="0.35">
      <c r="A293" s="1" t="s">
        <v>316</v>
      </c>
      <c r="B293" s="1" t="s">
        <v>6</v>
      </c>
      <c r="C293" s="2">
        <v>45631</v>
      </c>
      <c r="D293" s="1" t="s">
        <v>7</v>
      </c>
      <c r="E293" s="1" t="s">
        <v>15</v>
      </c>
      <c r="F293" s="3">
        <v>4125</v>
      </c>
      <c r="G293" s="3">
        <v>1364</v>
      </c>
      <c r="H293" s="3">
        <v>319</v>
      </c>
      <c r="I293" s="3">
        <v>2848</v>
      </c>
      <c r="J293" s="3">
        <v>15379</v>
      </c>
      <c r="K293" s="3">
        <v>188159</v>
      </c>
      <c r="L293" s="1" t="s">
        <v>18</v>
      </c>
      <c r="M293" s="41">
        <f>(F293+G293+H293)/Table23[[#This Row],[Impressions]]</f>
        <v>3.0867510988047343E-2</v>
      </c>
    </row>
    <row r="294" spans="1:13" ht="17.399999999999999" customHeight="1" thickBot="1" x14ac:dyDescent="0.35">
      <c r="A294" s="1" t="s">
        <v>317</v>
      </c>
      <c r="B294" s="1" t="s">
        <v>22</v>
      </c>
      <c r="C294" s="2">
        <v>45546</v>
      </c>
      <c r="D294" s="1" t="s">
        <v>14</v>
      </c>
      <c r="E294" s="1" t="s">
        <v>25</v>
      </c>
      <c r="F294" s="3">
        <v>3906</v>
      </c>
      <c r="G294" s="3">
        <v>1187</v>
      </c>
      <c r="H294" s="3">
        <v>589</v>
      </c>
      <c r="I294" s="3">
        <v>401</v>
      </c>
      <c r="J294" s="3">
        <v>52687</v>
      </c>
      <c r="K294" s="3">
        <v>196498</v>
      </c>
      <c r="L294" s="1" t="s">
        <v>4</v>
      </c>
      <c r="M294" s="41">
        <f>(F294+G294+H294)/Table23[[#This Row],[Impressions]]</f>
        <v>2.8916324848090057E-2</v>
      </c>
    </row>
    <row r="295" spans="1:13" ht="17.399999999999999" customHeight="1" thickBot="1" x14ac:dyDescent="0.35">
      <c r="A295" s="1" t="s">
        <v>318</v>
      </c>
      <c r="B295" s="1" t="s">
        <v>6</v>
      </c>
      <c r="C295" s="2">
        <v>45669</v>
      </c>
      <c r="D295" s="1" t="s">
        <v>14</v>
      </c>
      <c r="E295" s="1" t="s">
        <v>23</v>
      </c>
      <c r="F295" s="3">
        <v>4590</v>
      </c>
      <c r="G295" s="3">
        <v>713</v>
      </c>
      <c r="H295" s="3">
        <v>479</v>
      </c>
      <c r="I295" s="3">
        <v>2730</v>
      </c>
      <c r="J295" s="3">
        <v>41050</v>
      </c>
      <c r="K295" s="3">
        <v>204246</v>
      </c>
      <c r="L295" s="1" t="s">
        <v>20</v>
      </c>
      <c r="M295" s="41">
        <f>(F295+G295+H295)/Table23[[#This Row],[Impressions]]</f>
        <v>2.8308999931455206E-2</v>
      </c>
    </row>
    <row r="296" spans="1:13" ht="17.399999999999999" customHeight="1" thickBot="1" x14ac:dyDescent="0.35">
      <c r="A296" s="1" t="s">
        <v>319</v>
      </c>
      <c r="B296" s="1" t="s">
        <v>1</v>
      </c>
      <c r="C296" s="2">
        <v>45523</v>
      </c>
      <c r="D296" s="1" t="s">
        <v>2</v>
      </c>
      <c r="E296" s="1" t="s">
        <v>45</v>
      </c>
      <c r="F296" s="3">
        <v>3605</v>
      </c>
      <c r="G296" s="3">
        <v>206</v>
      </c>
      <c r="H296" s="3">
        <v>921</v>
      </c>
      <c r="I296" s="3">
        <v>852</v>
      </c>
      <c r="J296" s="3">
        <v>11660</v>
      </c>
      <c r="K296" s="3">
        <v>182635</v>
      </c>
      <c r="L296" s="1" t="s">
        <v>9</v>
      </c>
      <c r="M296" s="41">
        <f>(F296+G296+H296)/Table23[[#This Row],[Impressions]]</f>
        <v>2.590960111698196E-2</v>
      </c>
    </row>
    <row r="297" spans="1:13" ht="17.399999999999999" customHeight="1" thickBot="1" x14ac:dyDescent="0.35">
      <c r="A297" s="1" t="s">
        <v>320</v>
      </c>
      <c r="B297" s="1" t="s">
        <v>6</v>
      </c>
      <c r="C297" s="5">
        <v>45915</v>
      </c>
      <c r="D297" s="1" t="s">
        <v>7</v>
      </c>
      <c r="E297" s="1" t="s">
        <v>29</v>
      </c>
      <c r="F297" s="3">
        <v>5636</v>
      </c>
      <c r="G297" s="3">
        <v>303</v>
      </c>
      <c r="H297" s="3">
        <v>204</v>
      </c>
      <c r="I297" s="3">
        <v>2480</v>
      </c>
      <c r="J297" s="3">
        <v>7377</v>
      </c>
      <c r="K297" s="3">
        <v>241207</v>
      </c>
      <c r="L297" s="1" t="s">
        <v>26</v>
      </c>
      <c r="M297" s="41">
        <f>(F297+G297+H297)/Table23[[#This Row],[Impressions]]</f>
        <v>2.5467751765081443E-2</v>
      </c>
    </row>
    <row r="298" spans="1:13" ht="17.399999999999999" customHeight="1" thickBot="1" x14ac:dyDescent="0.35">
      <c r="A298" s="1" t="s">
        <v>321</v>
      </c>
      <c r="B298" s="1" t="s">
        <v>1</v>
      </c>
      <c r="C298" s="2">
        <v>45460</v>
      </c>
      <c r="D298" s="1" t="s">
        <v>14</v>
      </c>
      <c r="E298" s="1" t="s">
        <v>3</v>
      </c>
      <c r="F298" s="3">
        <v>3252</v>
      </c>
      <c r="G298" s="3">
        <v>1043</v>
      </c>
      <c r="H298" s="3">
        <v>647</v>
      </c>
      <c r="I298" s="3">
        <v>1545</v>
      </c>
      <c r="J298" s="3">
        <v>18859</v>
      </c>
      <c r="K298" s="3">
        <v>222958</v>
      </c>
      <c r="L298" s="1" t="s">
        <v>4</v>
      </c>
      <c r="M298" s="41">
        <f>(F298+G298+H298)/Table23[[#This Row],[Impressions]]</f>
        <v>2.2165609666394567E-2</v>
      </c>
    </row>
    <row r="299" spans="1:13" ht="17.399999999999999" customHeight="1" thickBot="1" x14ac:dyDescent="0.35">
      <c r="A299" s="1" t="s">
        <v>322</v>
      </c>
      <c r="B299" s="1" t="s">
        <v>6</v>
      </c>
      <c r="C299" s="2">
        <v>45449</v>
      </c>
      <c r="D299" s="1" t="s">
        <v>17</v>
      </c>
      <c r="E299" s="1" t="s">
        <v>60</v>
      </c>
      <c r="F299" s="3">
        <v>3531</v>
      </c>
      <c r="G299" s="3">
        <v>789</v>
      </c>
      <c r="H299" s="3">
        <v>467</v>
      </c>
      <c r="I299" s="3">
        <v>1867</v>
      </c>
      <c r="J299" s="3">
        <v>40816</v>
      </c>
      <c r="K299" s="3">
        <v>236037</v>
      </c>
      <c r="L299" s="1" t="s">
        <v>20</v>
      </c>
      <c r="M299" s="41">
        <f>(F299+G299+H299)/Table23[[#This Row],[Impressions]]</f>
        <v>2.0280718700881641E-2</v>
      </c>
    </row>
    <row r="300" spans="1:13" ht="17.399999999999999" customHeight="1" thickBot="1" x14ac:dyDescent="0.35">
      <c r="A300" s="1" t="s">
        <v>323</v>
      </c>
      <c r="B300" s="1" t="s">
        <v>6</v>
      </c>
      <c r="C300" s="2">
        <v>45516</v>
      </c>
      <c r="D300" s="1" t="s">
        <v>2</v>
      </c>
      <c r="E300" s="1" t="s">
        <v>23</v>
      </c>
      <c r="F300" s="3">
        <v>3581</v>
      </c>
      <c r="G300" s="3">
        <v>517</v>
      </c>
      <c r="H300" s="3">
        <v>880</v>
      </c>
      <c r="I300" s="3">
        <v>1925</v>
      </c>
      <c r="J300" s="3">
        <v>18636</v>
      </c>
      <c r="K300" s="3">
        <v>248611</v>
      </c>
      <c r="L300" s="1" t="s">
        <v>9</v>
      </c>
      <c r="M300" s="41">
        <f>(F300+G300+H300)/Table23[[#This Row],[Impressions]]</f>
        <v>2.0023249172401864E-2</v>
      </c>
    </row>
    <row r="301" spans="1:13" ht="17.399999999999999" customHeight="1" thickBot="1" x14ac:dyDescent="0.35">
      <c r="A301" s="6" t="s">
        <v>324</v>
      </c>
      <c r="B301" s="6" t="s">
        <v>1</v>
      </c>
      <c r="C301" s="7">
        <v>45624</v>
      </c>
      <c r="D301" s="6" t="s">
        <v>17</v>
      </c>
      <c r="E301" s="6" t="s">
        <v>15</v>
      </c>
      <c r="F301" s="8">
        <v>2302</v>
      </c>
      <c r="G301" s="8">
        <v>347</v>
      </c>
      <c r="H301" s="8">
        <v>642</v>
      </c>
      <c r="I301" s="8">
        <v>2175</v>
      </c>
      <c r="J301" s="8">
        <v>56378</v>
      </c>
      <c r="K301" s="8">
        <v>198056</v>
      </c>
      <c r="L301" s="6" t="s">
        <v>18</v>
      </c>
      <c r="M301" s="42">
        <f>(F301+G301+H301)/Table23[[#This Row],[Impressions]]</f>
        <v>1.6616512501514722E-2</v>
      </c>
    </row>
    <row r="302" spans="1:13" ht="17.399999999999999" customHeight="1" thickBot="1" x14ac:dyDescent="0.35">
      <c r="A302" s="1"/>
      <c r="B302" s="1"/>
      <c r="C302" s="5"/>
      <c r="D302" s="1"/>
      <c r="E302" s="1"/>
      <c r="F302" s="3"/>
      <c r="G302" s="3"/>
      <c r="H302" s="3"/>
      <c r="I302" s="3"/>
      <c r="J302" s="3"/>
      <c r="K302" s="3"/>
      <c r="L302" s="1"/>
      <c r="M302" s="4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48046-4E8E-4D9C-A3D1-43CB1EF97064}">
  <dimension ref="A1:H203"/>
  <sheetViews>
    <sheetView topLeftCell="E1" workbookViewId="0">
      <selection activeCell="J18" sqref="J18"/>
    </sheetView>
  </sheetViews>
  <sheetFormatPr defaultColWidth="22" defaultRowHeight="14.4" x14ac:dyDescent="0.3"/>
  <cols>
    <col min="3" max="5" width="22" style="13"/>
    <col min="6" max="6" width="22" style="21"/>
    <col min="7" max="7" width="22" style="22"/>
    <col min="8" max="8" width="23.6640625" customWidth="1"/>
    <col min="10" max="10" width="56.33203125" customWidth="1"/>
  </cols>
  <sheetData>
    <row r="1" spans="1:8" ht="15" customHeight="1" thickBot="1" x14ac:dyDescent="0.35">
      <c r="A1" s="9" t="s">
        <v>338</v>
      </c>
      <c r="B1" s="10" t="s">
        <v>336</v>
      </c>
      <c r="C1" s="11" t="s">
        <v>339</v>
      </c>
      <c r="D1" s="11" t="s">
        <v>340</v>
      </c>
      <c r="E1" s="11" t="s">
        <v>341</v>
      </c>
      <c r="F1" s="15" t="s">
        <v>342</v>
      </c>
      <c r="G1" s="16" t="s">
        <v>343</v>
      </c>
      <c r="H1" s="36" t="s">
        <v>361</v>
      </c>
    </row>
    <row r="2" spans="1:8" ht="15" customHeight="1" thickBot="1" x14ac:dyDescent="0.35">
      <c r="A2" s="2">
        <v>45446</v>
      </c>
      <c r="B2" s="1" t="s">
        <v>22</v>
      </c>
      <c r="C2" s="3">
        <v>4138</v>
      </c>
      <c r="D2" s="3">
        <v>361</v>
      </c>
      <c r="E2" s="3">
        <v>103777</v>
      </c>
      <c r="F2" s="17">
        <v>56.637790649999999</v>
      </c>
      <c r="G2" s="18">
        <v>23944</v>
      </c>
      <c r="H2" s="38">
        <f>(Table3[[#This Row],[New_Followers]]-Table3[[#This Row],[Unfollows]])/Table3[[#This Row],[Total_Followers]]</f>
        <v>3.6395347716738774E-2</v>
      </c>
    </row>
    <row r="3" spans="1:8" ht="15" customHeight="1" thickBot="1" x14ac:dyDescent="0.35">
      <c r="A3" s="2">
        <v>45446</v>
      </c>
      <c r="B3" s="1" t="s">
        <v>13</v>
      </c>
      <c r="C3" s="3">
        <v>8693</v>
      </c>
      <c r="D3" s="3">
        <v>1261</v>
      </c>
      <c r="E3" s="3">
        <v>111209</v>
      </c>
      <c r="F3" s="17">
        <v>69.475492090000003</v>
      </c>
      <c r="G3" s="18">
        <v>29873</v>
      </c>
      <c r="H3" s="38">
        <f>(Table3[[#This Row],[New_Followers]]-Table3[[#This Row],[Unfollows]])/Table3[[#This Row],[Total_Followers]]</f>
        <v>6.6829123542159363E-2</v>
      </c>
    </row>
    <row r="4" spans="1:8" ht="15" customHeight="1" thickBot="1" x14ac:dyDescent="0.35">
      <c r="A4" s="2">
        <v>45446</v>
      </c>
      <c r="B4" s="1" t="s">
        <v>6</v>
      </c>
      <c r="C4" s="3">
        <v>9264</v>
      </c>
      <c r="D4" s="3">
        <v>1141</v>
      </c>
      <c r="E4" s="3">
        <v>119332</v>
      </c>
      <c r="F4" s="17">
        <v>92.312204609999995</v>
      </c>
      <c r="G4" s="18">
        <v>50372</v>
      </c>
      <c r="H4" s="38">
        <f>(Table3[[#This Row],[New_Followers]]-Table3[[#This Row],[Unfollows]])/Table3[[#This Row],[Total_Followers]]</f>
        <v>6.8070592967519189E-2</v>
      </c>
    </row>
    <row r="5" spans="1:8" ht="15" customHeight="1" thickBot="1" x14ac:dyDescent="0.35">
      <c r="A5" s="2">
        <v>45446</v>
      </c>
      <c r="B5" s="1" t="s">
        <v>6</v>
      </c>
      <c r="C5" s="3">
        <v>8842</v>
      </c>
      <c r="D5" s="3">
        <v>971</v>
      </c>
      <c r="E5" s="3">
        <v>127203</v>
      </c>
      <c r="F5" s="17">
        <v>16.351815599999998</v>
      </c>
      <c r="G5" s="18">
        <v>33928</v>
      </c>
      <c r="H5" s="38">
        <f>(Table3[[#This Row],[New_Followers]]-Table3[[#This Row],[Unfollows]])/Table3[[#This Row],[Total_Followers]]</f>
        <v>6.1877471443283573E-2</v>
      </c>
    </row>
    <row r="6" spans="1:8" ht="15" customHeight="1" thickBot="1" x14ac:dyDescent="0.35">
      <c r="A6" s="2">
        <v>45453</v>
      </c>
      <c r="B6" s="1" t="s">
        <v>22</v>
      </c>
      <c r="C6" s="3">
        <v>7721</v>
      </c>
      <c r="D6" s="3">
        <v>506</v>
      </c>
      <c r="E6" s="3">
        <v>134418</v>
      </c>
      <c r="F6" s="17">
        <v>35.577824399999997</v>
      </c>
      <c r="G6" s="18">
        <v>25379</v>
      </c>
      <c r="H6" s="38">
        <f>(Table3[[#This Row],[New_Followers]]-Table3[[#This Row],[Unfollows]])/Table3[[#This Row],[Total_Followers]]</f>
        <v>5.3675846984778827E-2</v>
      </c>
    </row>
    <row r="7" spans="1:8" ht="15" customHeight="1" thickBot="1" x14ac:dyDescent="0.35">
      <c r="A7" s="2">
        <v>45453</v>
      </c>
      <c r="B7" s="1" t="s">
        <v>6</v>
      </c>
      <c r="C7" s="3">
        <v>8002</v>
      </c>
      <c r="D7" s="3">
        <v>524</v>
      </c>
      <c r="E7" s="3">
        <v>141896</v>
      </c>
      <c r="F7" s="17">
        <v>52.0648926</v>
      </c>
      <c r="G7" s="18">
        <v>46751</v>
      </c>
      <c r="H7" s="38">
        <f>(Table3[[#This Row],[New_Followers]]-Table3[[#This Row],[Unfollows]])/Table3[[#This Row],[Total_Followers]]</f>
        <v>5.270056943113266E-2</v>
      </c>
    </row>
    <row r="8" spans="1:8" ht="15" customHeight="1" thickBot="1" x14ac:dyDescent="0.35">
      <c r="A8" s="2">
        <v>45453</v>
      </c>
      <c r="B8" s="1" t="s">
        <v>13</v>
      </c>
      <c r="C8" s="3">
        <v>5225</v>
      </c>
      <c r="D8" s="3">
        <v>291</v>
      </c>
      <c r="E8" s="3">
        <v>146830</v>
      </c>
      <c r="F8" s="17">
        <v>19.551862700000001</v>
      </c>
      <c r="G8" s="18">
        <v>44546</v>
      </c>
      <c r="H8" s="38">
        <f>(Table3[[#This Row],[New_Followers]]-Table3[[#This Row],[Unfollows]])/Table3[[#This Row],[Total_Followers]]</f>
        <v>3.3603487025812166E-2</v>
      </c>
    </row>
    <row r="9" spans="1:8" ht="15" customHeight="1" thickBot="1" x14ac:dyDescent="0.35">
      <c r="A9" s="2">
        <v>45453</v>
      </c>
      <c r="B9" s="1" t="s">
        <v>13</v>
      </c>
      <c r="C9" s="3">
        <v>3978</v>
      </c>
      <c r="D9" s="3">
        <v>543</v>
      </c>
      <c r="E9" s="3">
        <v>150265</v>
      </c>
      <c r="F9" s="17">
        <v>49.159817660000002</v>
      </c>
      <c r="G9" s="18">
        <v>34286</v>
      </c>
      <c r="H9" s="38">
        <f>(Table3[[#This Row],[New_Followers]]-Table3[[#This Row],[Unfollows]])/Table3[[#This Row],[Total_Followers]]</f>
        <v>2.2859614680730708E-2</v>
      </c>
    </row>
    <row r="10" spans="1:8" ht="15" customHeight="1" thickBot="1" x14ac:dyDescent="0.35">
      <c r="A10" s="2">
        <v>45460</v>
      </c>
      <c r="B10" s="1" t="s">
        <v>22</v>
      </c>
      <c r="C10" s="3">
        <v>8373</v>
      </c>
      <c r="D10" s="3">
        <v>921</v>
      </c>
      <c r="E10" s="3">
        <v>157717</v>
      </c>
      <c r="F10" s="17">
        <v>12.226329440000001</v>
      </c>
      <c r="G10" s="18">
        <v>15110</v>
      </c>
      <c r="H10" s="38">
        <f>(Table3[[#This Row],[New_Followers]]-Table3[[#This Row],[Unfollows]])/Table3[[#This Row],[Total_Followers]]</f>
        <v>4.7249186834646864E-2</v>
      </c>
    </row>
    <row r="11" spans="1:8" ht="15" customHeight="1" thickBot="1" x14ac:dyDescent="0.35">
      <c r="A11" s="2">
        <v>45460</v>
      </c>
      <c r="B11" s="1" t="s">
        <v>13</v>
      </c>
      <c r="C11" s="3">
        <v>6907</v>
      </c>
      <c r="D11" s="3">
        <v>834</v>
      </c>
      <c r="E11" s="3">
        <v>163790</v>
      </c>
      <c r="F11" s="17">
        <v>54.158984060000002</v>
      </c>
      <c r="G11" s="18">
        <v>22087</v>
      </c>
      <c r="H11" s="38">
        <f>(Table3[[#This Row],[New_Followers]]-Table3[[#This Row],[Unfollows]])/Table3[[#This Row],[Total_Followers]]</f>
        <v>3.7077965687770928E-2</v>
      </c>
    </row>
    <row r="12" spans="1:8" ht="15" customHeight="1" thickBot="1" x14ac:dyDescent="0.35">
      <c r="A12" s="2">
        <v>45460</v>
      </c>
      <c r="B12" s="1" t="s">
        <v>1</v>
      </c>
      <c r="C12" s="3">
        <v>7097</v>
      </c>
      <c r="D12" s="3">
        <v>369</v>
      </c>
      <c r="E12" s="3">
        <v>170518</v>
      </c>
      <c r="F12" s="17">
        <v>9.2506362959999997</v>
      </c>
      <c r="G12" s="18">
        <v>33762</v>
      </c>
      <c r="H12" s="38">
        <f>(Table3[[#This Row],[New_Followers]]-Table3[[#This Row],[Unfollows]])/Table3[[#This Row],[Total_Followers]]</f>
        <v>3.9456245088495059E-2</v>
      </c>
    </row>
    <row r="13" spans="1:8" ht="15" customHeight="1" thickBot="1" x14ac:dyDescent="0.35">
      <c r="A13" s="2">
        <v>45460</v>
      </c>
      <c r="B13" s="1" t="s">
        <v>22</v>
      </c>
      <c r="C13" s="3">
        <v>6656</v>
      </c>
      <c r="D13" s="3">
        <v>978</v>
      </c>
      <c r="E13" s="3">
        <v>176196</v>
      </c>
      <c r="F13" s="17">
        <v>60.425889349999999</v>
      </c>
      <c r="G13" s="18">
        <v>27081</v>
      </c>
      <c r="H13" s="38">
        <f>(Table3[[#This Row],[New_Followers]]-Table3[[#This Row],[Unfollows]])/Table3[[#This Row],[Total_Followers]]</f>
        <v>3.2225476174260484E-2</v>
      </c>
    </row>
    <row r="14" spans="1:8" ht="15" customHeight="1" thickBot="1" x14ac:dyDescent="0.35">
      <c r="A14" s="2">
        <v>45467</v>
      </c>
      <c r="B14" s="1" t="s">
        <v>13</v>
      </c>
      <c r="C14" s="3">
        <v>9984</v>
      </c>
      <c r="D14" s="3">
        <v>1330</v>
      </c>
      <c r="E14" s="3">
        <v>184850</v>
      </c>
      <c r="F14" s="17">
        <v>57.524479309999997</v>
      </c>
      <c r="G14" s="18">
        <v>44947</v>
      </c>
      <c r="H14" s="38">
        <f>(Table3[[#This Row],[New_Followers]]-Table3[[#This Row],[Unfollows]])/Table3[[#This Row],[Total_Followers]]</f>
        <v>4.6816337571003515E-2</v>
      </c>
    </row>
    <row r="15" spans="1:8" ht="15" customHeight="1" thickBot="1" x14ac:dyDescent="0.35">
      <c r="A15" s="2">
        <v>45467</v>
      </c>
      <c r="B15" s="1" t="s">
        <v>22</v>
      </c>
      <c r="C15" s="3">
        <v>5259</v>
      </c>
      <c r="D15" s="3">
        <v>374</v>
      </c>
      <c r="E15" s="3">
        <v>189735</v>
      </c>
      <c r="F15" s="17">
        <v>14.8275226</v>
      </c>
      <c r="G15" s="18">
        <v>19596</v>
      </c>
      <c r="H15" s="38">
        <f>(Table3[[#This Row],[New_Followers]]-Table3[[#This Row],[Unfollows]])/Table3[[#This Row],[Total_Followers]]</f>
        <v>2.5746435818378266E-2</v>
      </c>
    </row>
    <row r="16" spans="1:8" ht="15" customHeight="1" thickBot="1" x14ac:dyDescent="0.35">
      <c r="A16" s="2">
        <v>45467</v>
      </c>
      <c r="B16" s="1" t="s">
        <v>6</v>
      </c>
      <c r="C16" s="3">
        <v>9286</v>
      </c>
      <c r="D16" s="3">
        <v>633</v>
      </c>
      <c r="E16" s="3">
        <v>198388</v>
      </c>
      <c r="F16" s="17">
        <v>5.4343004620000004</v>
      </c>
      <c r="G16" s="18">
        <v>48019</v>
      </c>
      <c r="H16" s="38">
        <f>(Table3[[#This Row],[New_Followers]]-Table3[[#This Row],[Unfollows]])/Table3[[#This Row],[Total_Followers]]</f>
        <v>4.3616549388067825E-2</v>
      </c>
    </row>
    <row r="17" spans="1:8" ht="15" customHeight="1" thickBot="1" x14ac:dyDescent="0.35">
      <c r="A17" s="2">
        <v>45467</v>
      </c>
      <c r="B17" s="1" t="s">
        <v>13</v>
      </c>
      <c r="C17" s="3">
        <v>6901</v>
      </c>
      <c r="D17" s="3">
        <v>471</v>
      </c>
      <c r="E17" s="3">
        <v>204818</v>
      </c>
      <c r="F17" s="17">
        <v>60.827661630000001</v>
      </c>
      <c r="G17" s="18">
        <v>52003</v>
      </c>
      <c r="H17" s="38">
        <f>(Table3[[#This Row],[New_Followers]]-Table3[[#This Row],[Unfollows]])/Table3[[#This Row],[Total_Followers]]</f>
        <v>3.1393725160874533E-2</v>
      </c>
    </row>
    <row r="18" spans="1:8" ht="15" customHeight="1" thickBot="1" x14ac:dyDescent="0.35">
      <c r="A18" s="2">
        <v>45474</v>
      </c>
      <c r="B18" s="1" t="s">
        <v>1</v>
      </c>
      <c r="C18" s="3">
        <v>5917</v>
      </c>
      <c r="D18" s="3">
        <v>475</v>
      </c>
      <c r="E18" s="3">
        <v>210260</v>
      </c>
      <c r="F18" s="17">
        <v>17.89403596</v>
      </c>
      <c r="G18" s="18">
        <v>28313</v>
      </c>
      <c r="H18" s="38">
        <f>(Table3[[#This Row],[New_Followers]]-Table3[[#This Row],[Unfollows]])/Table3[[#This Row],[Total_Followers]]</f>
        <v>2.5882241034909159E-2</v>
      </c>
    </row>
    <row r="19" spans="1:8" ht="15" customHeight="1" thickBot="1" x14ac:dyDescent="0.35">
      <c r="A19" s="2">
        <v>45474</v>
      </c>
      <c r="B19" s="1" t="s">
        <v>13</v>
      </c>
      <c r="C19" s="3">
        <v>9429</v>
      </c>
      <c r="D19" s="3">
        <v>966</v>
      </c>
      <c r="E19" s="3">
        <v>218723</v>
      </c>
      <c r="F19" s="17">
        <v>7.6914636319999996</v>
      </c>
      <c r="G19" s="18">
        <v>57639</v>
      </c>
      <c r="H19" s="38">
        <f>(Table3[[#This Row],[New_Followers]]-Table3[[#This Row],[Unfollows]])/Table3[[#This Row],[Total_Followers]]</f>
        <v>3.8692775794040866E-2</v>
      </c>
    </row>
    <row r="20" spans="1:8" ht="15" customHeight="1" thickBot="1" x14ac:dyDescent="0.35">
      <c r="A20" s="2">
        <v>45474</v>
      </c>
      <c r="B20" s="1" t="s">
        <v>22</v>
      </c>
      <c r="C20" s="3">
        <v>3530</v>
      </c>
      <c r="D20" s="3">
        <v>328</v>
      </c>
      <c r="E20" s="3">
        <v>221925</v>
      </c>
      <c r="F20" s="17">
        <v>12.83721978</v>
      </c>
      <c r="G20" s="18">
        <v>11013</v>
      </c>
      <c r="H20" s="38">
        <f>(Table3[[#This Row],[New_Followers]]-Table3[[#This Row],[Unfollows]])/Table3[[#This Row],[Total_Followers]]</f>
        <v>1.4428297848372199E-2</v>
      </c>
    </row>
    <row r="21" spans="1:8" ht="15" customHeight="1" thickBot="1" x14ac:dyDescent="0.35">
      <c r="A21" s="2">
        <v>45474</v>
      </c>
      <c r="B21" s="1" t="s">
        <v>22</v>
      </c>
      <c r="C21" s="3">
        <v>2960</v>
      </c>
      <c r="D21" s="3">
        <v>234</v>
      </c>
      <c r="E21" s="3">
        <v>224651</v>
      </c>
      <c r="F21" s="17">
        <v>17.412786950000001</v>
      </c>
      <c r="G21" s="18">
        <v>59378</v>
      </c>
      <c r="H21" s="38">
        <f>(Table3[[#This Row],[New_Followers]]-Table3[[#This Row],[Unfollows]])/Table3[[#This Row],[Total_Followers]]</f>
        <v>1.213437732304775E-2</v>
      </c>
    </row>
    <row r="22" spans="1:8" ht="15" customHeight="1" thickBot="1" x14ac:dyDescent="0.35">
      <c r="A22" s="2">
        <v>45481</v>
      </c>
      <c r="B22" s="1" t="s">
        <v>13</v>
      </c>
      <c r="C22" s="3">
        <v>8045</v>
      </c>
      <c r="D22" s="3">
        <v>894</v>
      </c>
      <c r="E22" s="3">
        <v>231802</v>
      </c>
      <c r="F22" s="17">
        <v>47.634187799999999</v>
      </c>
      <c r="G22" s="18">
        <v>33705</v>
      </c>
      <c r="H22" s="38">
        <f>(Table3[[#This Row],[New_Followers]]-Table3[[#This Row],[Unfollows]])/Table3[[#This Row],[Total_Followers]]</f>
        <v>3.084960440375838E-2</v>
      </c>
    </row>
    <row r="23" spans="1:8" ht="15" customHeight="1" thickBot="1" x14ac:dyDescent="0.35">
      <c r="A23" s="2">
        <v>45481</v>
      </c>
      <c r="B23" s="1" t="s">
        <v>1</v>
      </c>
      <c r="C23" s="3">
        <v>2048</v>
      </c>
      <c r="D23" s="3">
        <v>130</v>
      </c>
      <c r="E23" s="3">
        <v>233720</v>
      </c>
      <c r="F23" s="17">
        <v>39.284614070000003</v>
      </c>
      <c r="G23" s="18">
        <v>11828</v>
      </c>
      <c r="H23" s="38">
        <f>(Table3[[#This Row],[New_Followers]]-Table3[[#This Row],[Unfollows]])/Table3[[#This Row],[Total_Followers]]</f>
        <v>8.2064008214958063E-3</v>
      </c>
    </row>
    <row r="24" spans="1:8" ht="15" customHeight="1" thickBot="1" x14ac:dyDescent="0.35">
      <c r="A24" s="2">
        <v>45481</v>
      </c>
      <c r="B24" s="1" t="s">
        <v>1</v>
      </c>
      <c r="C24" s="3">
        <v>6772</v>
      </c>
      <c r="D24" s="3">
        <v>536</v>
      </c>
      <c r="E24" s="3">
        <v>239956</v>
      </c>
      <c r="F24" s="17">
        <v>9.8205504339999994</v>
      </c>
      <c r="G24" s="18">
        <v>17909</v>
      </c>
      <c r="H24" s="38">
        <f>(Table3[[#This Row],[New_Followers]]-Table3[[#This Row],[Unfollows]])/Table3[[#This Row],[Total_Followers]]</f>
        <v>2.5988097817933289E-2</v>
      </c>
    </row>
    <row r="25" spans="1:8" ht="15" customHeight="1" thickBot="1" x14ac:dyDescent="0.35">
      <c r="A25" s="2">
        <v>45481</v>
      </c>
      <c r="B25" s="1" t="s">
        <v>1</v>
      </c>
      <c r="C25" s="3">
        <v>3529</v>
      </c>
      <c r="D25" s="3">
        <v>305</v>
      </c>
      <c r="E25" s="3">
        <v>243180</v>
      </c>
      <c r="F25" s="17">
        <v>41.606628829999998</v>
      </c>
      <c r="G25" s="18">
        <v>48356</v>
      </c>
      <c r="H25" s="38">
        <f>(Table3[[#This Row],[New_Followers]]-Table3[[#This Row],[Unfollows]])/Table3[[#This Row],[Total_Followers]]</f>
        <v>1.3257669216218439E-2</v>
      </c>
    </row>
    <row r="26" spans="1:8" ht="15" customHeight="1" thickBot="1" x14ac:dyDescent="0.35">
      <c r="A26" s="2">
        <v>45488</v>
      </c>
      <c r="B26" s="1" t="s">
        <v>22</v>
      </c>
      <c r="C26" s="3">
        <v>3964</v>
      </c>
      <c r="D26" s="3">
        <v>378</v>
      </c>
      <c r="E26" s="3">
        <v>246766</v>
      </c>
      <c r="F26" s="17">
        <v>13.63558999</v>
      </c>
      <c r="G26" s="18">
        <v>23109</v>
      </c>
      <c r="H26" s="38">
        <f>(Table3[[#This Row],[New_Followers]]-Table3[[#This Row],[Unfollows]])/Table3[[#This Row],[Total_Followers]]</f>
        <v>1.453198576789347E-2</v>
      </c>
    </row>
    <row r="27" spans="1:8" ht="15" customHeight="1" thickBot="1" x14ac:dyDescent="0.35">
      <c r="A27" s="2">
        <v>45488</v>
      </c>
      <c r="B27" s="1" t="s">
        <v>13</v>
      </c>
      <c r="C27" s="3">
        <v>8137</v>
      </c>
      <c r="D27" s="3">
        <v>1045</v>
      </c>
      <c r="E27" s="3">
        <v>253858</v>
      </c>
      <c r="F27" s="17">
        <v>20.472468859999999</v>
      </c>
      <c r="G27" s="18">
        <v>12023</v>
      </c>
      <c r="H27" s="38">
        <f>(Table3[[#This Row],[New_Followers]]-Table3[[#This Row],[Unfollows]])/Table3[[#This Row],[Total_Followers]]</f>
        <v>2.7936878097203948E-2</v>
      </c>
    </row>
    <row r="28" spans="1:8" ht="15" customHeight="1" thickBot="1" x14ac:dyDescent="0.35">
      <c r="A28" s="2">
        <v>45488</v>
      </c>
      <c r="B28" s="1" t="s">
        <v>6</v>
      </c>
      <c r="C28" s="3">
        <v>1963</v>
      </c>
      <c r="D28" s="3">
        <v>137</v>
      </c>
      <c r="E28" s="3">
        <v>255684</v>
      </c>
      <c r="F28" s="17">
        <v>11.20836658</v>
      </c>
      <c r="G28" s="18">
        <v>24537</v>
      </c>
      <c r="H28" s="38">
        <f>(Table3[[#This Row],[New_Followers]]-Table3[[#This Row],[Unfollows]])/Table3[[#This Row],[Total_Followers]]</f>
        <v>7.1416279469970747E-3</v>
      </c>
    </row>
    <row r="29" spans="1:8" ht="15" customHeight="1" thickBot="1" x14ac:dyDescent="0.35">
      <c r="A29" s="2">
        <v>45488</v>
      </c>
      <c r="B29" s="1" t="s">
        <v>22</v>
      </c>
      <c r="C29" s="3">
        <v>1536</v>
      </c>
      <c r="D29" s="3">
        <v>155</v>
      </c>
      <c r="E29" s="3">
        <v>257065</v>
      </c>
      <c r="F29" s="17">
        <v>12.1576255</v>
      </c>
      <c r="G29" s="18">
        <v>36661</v>
      </c>
      <c r="H29" s="38">
        <f>(Table3[[#This Row],[New_Followers]]-Table3[[#This Row],[Unfollows]])/Table3[[#This Row],[Total_Followers]]</f>
        <v>5.3721821329235798E-3</v>
      </c>
    </row>
    <row r="30" spans="1:8" ht="15" customHeight="1" thickBot="1" x14ac:dyDescent="0.35">
      <c r="A30" s="2">
        <v>45495</v>
      </c>
      <c r="B30" s="1" t="s">
        <v>1</v>
      </c>
      <c r="C30" s="3">
        <v>8340</v>
      </c>
      <c r="D30" s="3">
        <v>911</v>
      </c>
      <c r="E30" s="3">
        <v>264494</v>
      </c>
      <c r="F30" s="17">
        <v>37.302925590000001</v>
      </c>
      <c r="G30" s="18">
        <v>48659</v>
      </c>
      <c r="H30" s="38">
        <f>(Table3[[#This Row],[New_Followers]]-Table3[[#This Row],[Unfollows]])/Table3[[#This Row],[Total_Followers]]</f>
        <v>2.8087593669421613E-2</v>
      </c>
    </row>
    <row r="31" spans="1:8" ht="15" customHeight="1" thickBot="1" x14ac:dyDescent="0.35">
      <c r="A31" s="2">
        <v>45495</v>
      </c>
      <c r="B31" s="1" t="s">
        <v>13</v>
      </c>
      <c r="C31" s="3">
        <v>8179</v>
      </c>
      <c r="D31" s="3">
        <v>446</v>
      </c>
      <c r="E31" s="3">
        <v>272227</v>
      </c>
      <c r="F31" s="17">
        <v>41.821714970000002</v>
      </c>
      <c r="G31" s="18">
        <v>43848</v>
      </c>
      <c r="H31" s="38">
        <f>(Table3[[#This Row],[New_Followers]]-Table3[[#This Row],[Unfollows]])/Table3[[#This Row],[Total_Followers]]</f>
        <v>2.8406440213498294E-2</v>
      </c>
    </row>
    <row r="32" spans="1:8" ht="15" customHeight="1" thickBot="1" x14ac:dyDescent="0.35">
      <c r="A32" s="2">
        <v>45495</v>
      </c>
      <c r="B32" s="1" t="s">
        <v>1</v>
      </c>
      <c r="C32" s="3">
        <v>8967</v>
      </c>
      <c r="D32" s="3">
        <v>993</v>
      </c>
      <c r="E32" s="3">
        <v>280201</v>
      </c>
      <c r="F32" s="17">
        <v>52.792102810000003</v>
      </c>
      <c r="G32" s="18">
        <v>47804</v>
      </c>
      <c r="H32" s="38">
        <f>(Table3[[#This Row],[New_Followers]]-Table3[[#This Row],[Unfollows]])/Table3[[#This Row],[Total_Followers]]</f>
        <v>2.8458142547671136E-2</v>
      </c>
    </row>
    <row r="33" spans="1:8" ht="15" customHeight="1" thickBot="1" x14ac:dyDescent="0.35">
      <c r="A33" s="2">
        <v>45495</v>
      </c>
      <c r="B33" s="1" t="s">
        <v>6</v>
      </c>
      <c r="C33" s="3">
        <v>9734</v>
      </c>
      <c r="D33" s="3">
        <v>652</v>
      </c>
      <c r="E33" s="3">
        <v>289283</v>
      </c>
      <c r="F33" s="17">
        <v>49.647922620000003</v>
      </c>
      <c r="G33" s="18">
        <v>25379</v>
      </c>
      <c r="H33" s="38">
        <f>(Table3[[#This Row],[New_Followers]]-Table3[[#This Row],[Unfollows]])/Table3[[#This Row],[Total_Followers]]</f>
        <v>3.1394862470314533E-2</v>
      </c>
    </row>
    <row r="34" spans="1:8" ht="15" customHeight="1" thickBot="1" x14ac:dyDescent="0.35">
      <c r="A34" s="2">
        <v>45502</v>
      </c>
      <c r="B34" s="1" t="s">
        <v>1</v>
      </c>
      <c r="C34" s="3">
        <v>1845</v>
      </c>
      <c r="D34" s="3">
        <v>104</v>
      </c>
      <c r="E34" s="3">
        <v>291024</v>
      </c>
      <c r="F34" s="17">
        <v>28.158158780000001</v>
      </c>
      <c r="G34" s="18">
        <v>37766</v>
      </c>
      <c r="H34" s="38">
        <f>(Table3[[#This Row],[New_Followers]]-Table3[[#This Row],[Unfollows]])/Table3[[#This Row],[Total_Followers]]</f>
        <v>5.9823244818296775E-3</v>
      </c>
    </row>
    <row r="35" spans="1:8" ht="15" customHeight="1" thickBot="1" x14ac:dyDescent="0.35">
      <c r="A35" s="2">
        <v>45502</v>
      </c>
      <c r="B35" s="1" t="s">
        <v>1</v>
      </c>
      <c r="C35" s="3">
        <v>6777</v>
      </c>
      <c r="D35" s="3">
        <v>981</v>
      </c>
      <c r="E35" s="3">
        <v>296820</v>
      </c>
      <c r="F35" s="17">
        <v>23.920557909999999</v>
      </c>
      <c r="G35" s="18">
        <v>53590</v>
      </c>
      <c r="H35" s="38">
        <f>(Table3[[#This Row],[New_Followers]]-Table3[[#This Row],[Unfollows]])/Table3[[#This Row],[Total_Followers]]</f>
        <v>1.952698605215282E-2</v>
      </c>
    </row>
    <row r="36" spans="1:8" ht="15" customHeight="1" thickBot="1" x14ac:dyDescent="0.35">
      <c r="A36" s="2">
        <v>45502</v>
      </c>
      <c r="B36" s="1" t="s">
        <v>6</v>
      </c>
      <c r="C36" s="3">
        <v>4036</v>
      </c>
      <c r="D36" s="3">
        <v>591</v>
      </c>
      <c r="E36" s="3">
        <v>300265</v>
      </c>
      <c r="F36" s="17">
        <v>44.21927298</v>
      </c>
      <c r="G36" s="18">
        <v>12563</v>
      </c>
      <c r="H36" s="38">
        <f>(Table3[[#This Row],[New_Followers]]-Table3[[#This Row],[Unfollows]])/Table3[[#This Row],[Total_Followers]]</f>
        <v>1.1473198674504187E-2</v>
      </c>
    </row>
    <row r="37" spans="1:8" ht="15" customHeight="1" thickBot="1" x14ac:dyDescent="0.35">
      <c r="A37" s="2">
        <v>45502</v>
      </c>
      <c r="B37" s="1" t="s">
        <v>13</v>
      </c>
      <c r="C37" s="3">
        <v>6947</v>
      </c>
      <c r="D37" s="3">
        <v>908</v>
      </c>
      <c r="E37" s="3">
        <v>306304</v>
      </c>
      <c r="F37" s="17">
        <v>14.11767394</v>
      </c>
      <c r="G37" s="18">
        <v>46060</v>
      </c>
      <c r="H37" s="38">
        <f>(Table3[[#This Row],[New_Followers]]-Table3[[#This Row],[Unfollows]])/Table3[[#This Row],[Total_Followers]]</f>
        <v>1.9715707271207691E-2</v>
      </c>
    </row>
    <row r="38" spans="1:8" ht="15" customHeight="1" thickBot="1" x14ac:dyDescent="0.35">
      <c r="A38" s="2">
        <v>45509</v>
      </c>
      <c r="B38" s="1" t="s">
        <v>22</v>
      </c>
      <c r="C38" s="3">
        <v>3494</v>
      </c>
      <c r="D38" s="3">
        <v>281</v>
      </c>
      <c r="E38" s="3">
        <v>309517</v>
      </c>
      <c r="F38" s="17">
        <v>27.765518530000001</v>
      </c>
      <c r="G38" s="18">
        <v>39197</v>
      </c>
      <c r="H38" s="38">
        <f>(Table3[[#This Row],[New_Followers]]-Table3[[#This Row],[Unfollows]])/Table3[[#This Row],[Total_Followers]]</f>
        <v>1.0380689913639638E-2</v>
      </c>
    </row>
    <row r="39" spans="1:8" ht="15" customHeight="1" thickBot="1" x14ac:dyDescent="0.35">
      <c r="A39" s="2">
        <v>45509</v>
      </c>
      <c r="B39" s="1" t="s">
        <v>13</v>
      </c>
      <c r="C39" s="3">
        <v>3719</v>
      </c>
      <c r="D39" s="3">
        <v>222</v>
      </c>
      <c r="E39" s="3">
        <v>313014</v>
      </c>
      <c r="F39" s="17">
        <v>21.669318310000001</v>
      </c>
      <c r="G39" s="18">
        <v>13586</v>
      </c>
      <c r="H39" s="38">
        <f>(Table3[[#This Row],[New_Followers]]-Table3[[#This Row],[Unfollows]])/Table3[[#This Row],[Total_Followers]]</f>
        <v>1.1172024254506188E-2</v>
      </c>
    </row>
    <row r="40" spans="1:8" ht="15" customHeight="1" thickBot="1" x14ac:dyDescent="0.35">
      <c r="A40" s="2">
        <v>45509</v>
      </c>
      <c r="B40" s="1" t="s">
        <v>6</v>
      </c>
      <c r="C40" s="3">
        <v>2884</v>
      </c>
      <c r="D40" s="3">
        <v>341</v>
      </c>
      <c r="E40" s="3">
        <v>315557</v>
      </c>
      <c r="F40" s="17">
        <v>46.999749649999998</v>
      </c>
      <c r="G40" s="18">
        <v>26087</v>
      </c>
      <c r="H40" s="38">
        <f>(Table3[[#This Row],[New_Followers]]-Table3[[#This Row],[Unfollows]])/Table3[[#This Row],[Total_Followers]]</f>
        <v>8.058765928184131E-3</v>
      </c>
    </row>
    <row r="41" spans="1:8" ht="15" customHeight="1" thickBot="1" x14ac:dyDescent="0.35">
      <c r="A41" s="2">
        <v>45509</v>
      </c>
      <c r="B41" s="1" t="s">
        <v>1</v>
      </c>
      <c r="C41" s="3">
        <v>5349</v>
      </c>
      <c r="D41" s="3">
        <v>502</v>
      </c>
      <c r="E41" s="3">
        <v>320404</v>
      </c>
      <c r="F41" s="17">
        <v>5.2152906950000002</v>
      </c>
      <c r="G41" s="18">
        <v>58868</v>
      </c>
      <c r="H41" s="38">
        <f>(Table3[[#This Row],[New_Followers]]-Table3[[#This Row],[Unfollows]])/Table3[[#This Row],[Total_Followers]]</f>
        <v>1.5127776182569505E-2</v>
      </c>
    </row>
    <row r="42" spans="1:8" ht="15" customHeight="1" thickBot="1" x14ac:dyDescent="0.35">
      <c r="A42" s="2">
        <v>45516</v>
      </c>
      <c r="B42" s="1" t="s">
        <v>13</v>
      </c>
      <c r="C42" s="3">
        <v>6179</v>
      </c>
      <c r="D42" s="3">
        <v>384</v>
      </c>
      <c r="E42" s="3">
        <v>326199</v>
      </c>
      <c r="F42" s="17">
        <v>14.71218489</v>
      </c>
      <c r="G42" s="18">
        <v>33225</v>
      </c>
      <c r="H42" s="38">
        <f>(Table3[[#This Row],[New_Followers]]-Table3[[#This Row],[Unfollows]])/Table3[[#This Row],[Total_Followers]]</f>
        <v>1.7765229200580015E-2</v>
      </c>
    </row>
    <row r="43" spans="1:8" ht="15" customHeight="1" thickBot="1" x14ac:dyDescent="0.35">
      <c r="A43" s="2">
        <v>45516</v>
      </c>
      <c r="B43" s="1" t="s">
        <v>22</v>
      </c>
      <c r="C43" s="3">
        <v>7610</v>
      </c>
      <c r="D43" s="3">
        <v>757</v>
      </c>
      <c r="E43" s="3">
        <v>333052</v>
      </c>
      <c r="F43" s="17">
        <v>44.450416150000002</v>
      </c>
      <c r="G43" s="18">
        <v>39750</v>
      </c>
      <c r="H43" s="38">
        <f>(Table3[[#This Row],[New_Followers]]-Table3[[#This Row],[Unfollows]])/Table3[[#This Row],[Total_Followers]]</f>
        <v>2.0576366453286574E-2</v>
      </c>
    </row>
    <row r="44" spans="1:8" ht="15" customHeight="1" thickBot="1" x14ac:dyDescent="0.35">
      <c r="A44" s="2">
        <v>45516</v>
      </c>
      <c r="B44" s="1" t="s">
        <v>6</v>
      </c>
      <c r="C44" s="3">
        <v>7430</v>
      </c>
      <c r="D44" s="3">
        <v>397</v>
      </c>
      <c r="E44" s="3">
        <v>340085</v>
      </c>
      <c r="F44" s="17">
        <v>28.065042559999998</v>
      </c>
      <c r="G44" s="18">
        <v>16643</v>
      </c>
      <c r="H44" s="38">
        <f>(Table3[[#This Row],[New_Followers]]-Table3[[#This Row],[Unfollows]])/Table3[[#This Row],[Total_Followers]]</f>
        <v>2.0680124086625402E-2</v>
      </c>
    </row>
    <row r="45" spans="1:8" ht="15" customHeight="1" thickBot="1" x14ac:dyDescent="0.35">
      <c r="A45" s="2">
        <v>45516</v>
      </c>
      <c r="B45" s="1" t="s">
        <v>13</v>
      </c>
      <c r="C45" s="3">
        <v>8154</v>
      </c>
      <c r="D45" s="3">
        <v>1149</v>
      </c>
      <c r="E45" s="3">
        <v>347090</v>
      </c>
      <c r="F45" s="17">
        <v>26.003918290000001</v>
      </c>
      <c r="G45" s="18">
        <v>37523</v>
      </c>
      <c r="H45" s="38">
        <f>(Table3[[#This Row],[New_Followers]]-Table3[[#This Row],[Unfollows]])/Table3[[#This Row],[Total_Followers]]</f>
        <v>2.0182085338096747E-2</v>
      </c>
    </row>
    <row r="46" spans="1:8" ht="15" customHeight="1" thickBot="1" x14ac:dyDescent="0.35">
      <c r="A46" s="2">
        <v>45523</v>
      </c>
      <c r="B46" s="1" t="s">
        <v>22</v>
      </c>
      <c r="C46" s="3">
        <v>7488</v>
      </c>
      <c r="D46" s="3">
        <v>568</v>
      </c>
      <c r="E46" s="3">
        <v>354010</v>
      </c>
      <c r="F46" s="17">
        <v>13.4773029</v>
      </c>
      <c r="G46" s="18">
        <v>46727</v>
      </c>
      <c r="H46" s="38">
        <f>(Table3[[#This Row],[New_Followers]]-Table3[[#This Row],[Unfollows]])/Table3[[#This Row],[Total_Followers]]</f>
        <v>1.9547470410440384E-2</v>
      </c>
    </row>
    <row r="47" spans="1:8" ht="15" customHeight="1" thickBot="1" x14ac:dyDescent="0.35">
      <c r="A47" s="2">
        <v>45523</v>
      </c>
      <c r="B47" s="1" t="s">
        <v>6</v>
      </c>
      <c r="C47" s="3">
        <v>5737</v>
      </c>
      <c r="D47" s="3">
        <v>666</v>
      </c>
      <c r="E47" s="3">
        <v>359081</v>
      </c>
      <c r="F47" s="17">
        <v>4.6034181700000003</v>
      </c>
      <c r="G47" s="18">
        <v>21005</v>
      </c>
      <c r="H47" s="38">
        <f>(Table3[[#This Row],[New_Followers]]-Table3[[#This Row],[Unfollows]])/Table3[[#This Row],[Total_Followers]]</f>
        <v>1.4122161852061233E-2</v>
      </c>
    </row>
    <row r="48" spans="1:8" ht="15" customHeight="1" thickBot="1" x14ac:dyDescent="0.35">
      <c r="A48" s="2">
        <v>45523</v>
      </c>
      <c r="B48" s="1" t="s">
        <v>22</v>
      </c>
      <c r="C48" s="3">
        <v>7525</v>
      </c>
      <c r="D48" s="3">
        <v>610</v>
      </c>
      <c r="E48" s="3">
        <v>365996</v>
      </c>
      <c r="F48" s="17">
        <v>5.7694619610000002</v>
      </c>
      <c r="G48" s="18">
        <v>53543</v>
      </c>
      <c r="H48" s="38">
        <f>(Table3[[#This Row],[New_Followers]]-Table3[[#This Row],[Unfollows]])/Table3[[#This Row],[Total_Followers]]</f>
        <v>1.8893649110919244E-2</v>
      </c>
    </row>
    <row r="49" spans="1:8" ht="15" customHeight="1" thickBot="1" x14ac:dyDescent="0.35">
      <c r="A49" s="2">
        <v>45523</v>
      </c>
      <c r="B49" s="1" t="s">
        <v>6</v>
      </c>
      <c r="C49" s="3">
        <v>4850</v>
      </c>
      <c r="D49" s="3">
        <v>494</v>
      </c>
      <c r="E49" s="3">
        <v>370352</v>
      </c>
      <c r="F49" s="17">
        <v>20.46539508</v>
      </c>
      <c r="G49" s="18">
        <v>10161</v>
      </c>
      <c r="H49" s="38">
        <f>(Table3[[#This Row],[New_Followers]]-Table3[[#This Row],[Unfollows]])/Table3[[#This Row],[Total_Followers]]</f>
        <v>1.176178338445587E-2</v>
      </c>
    </row>
    <row r="50" spans="1:8" ht="15" customHeight="1" thickBot="1" x14ac:dyDescent="0.35">
      <c r="A50" s="2">
        <v>45530</v>
      </c>
      <c r="B50" s="1" t="s">
        <v>1</v>
      </c>
      <c r="C50" s="3">
        <v>1689</v>
      </c>
      <c r="D50" s="3">
        <v>176</v>
      </c>
      <c r="E50" s="3">
        <v>371865</v>
      </c>
      <c r="F50" s="17">
        <v>38.012181839999997</v>
      </c>
      <c r="G50" s="18">
        <v>26029</v>
      </c>
      <c r="H50" s="38">
        <f>(Table3[[#This Row],[New_Followers]]-Table3[[#This Row],[Unfollows]])/Table3[[#This Row],[Total_Followers]]</f>
        <v>4.068680838476329E-3</v>
      </c>
    </row>
    <row r="51" spans="1:8" ht="15" customHeight="1" thickBot="1" x14ac:dyDescent="0.35">
      <c r="A51" s="2">
        <v>45530</v>
      </c>
      <c r="B51" s="1" t="s">
        <v>13</v>
      </c>
      <c r="C51" s="3">
        <v>6175</v>
      </c>
      <c r="D51" s="3">
        <v>422</v>
      </c>
      <c r="E51" s="3">
        <v>377618</v>
      </c>
      <c r="F51" s="17">
        <v>37.861012979999998</v>
      </c>
      <c r="G51" s="18">
        <v>59745</v>
      </c>
      <c r="H51" s="38">
        <f>(Table3[[#This Row],[New_Followers]]-Table3[[#This Row],[Unfollows]])/Table3[[#This Row],[Total_Followers]]</f>
        <v>1.523497290913039E-2</v>
      </c>
    </row>
    <row r="52" spans="1:8" ht="15" customHeight="1" thickBot="1" x14ac:dyDescent="0.35">
      <c r="A52" s="2">
        <v>45530</v>
      </c>
      <c r="B52" s="1" t="s">
        <v>22</v>
      </c>
      <c r="C52" s="3">
        <v>9648</v>
      </c>
      <c r="D52" s="3">
        <v>1417</v>
      </c>
      <c r="E52" s="3">
        <v>385849</v>
      </c>
      <c r="F52" s="17">
        <v>3.6633501709999998</v>
      </c>
      <c r="G52" s="18">
        <v>24226</v>
      </c>
      <c r="H52" s="38">
        <f>(Table3[[#This Row],[New_Followers]]-Table3[[#This Row],[Unfollows]])/Table3[[#This Row],[Total_Followers]]</f>
        <v>2.1332179168534842E-2</v>
      </c>
    </row>
    <row r="53" spans="1:8" ht="15" customHeight="1" thickBot="1" x14ac:dyDescent="0.35">
      <c r="A53" s="2">
        <v>45530</v>
      </c>
      <c r="B53" s="1" t="s">
        <v>6</v>
      </c>
      <c r="C53" s="3">
        <v>6078</v>
      </c>
      <c r="D53" s="3">
        <v>775</v>
      </c>
      <c r="E53" s="3">
        <v>391152</v>
      </c>
      <c r="F53" s="17">
        <v>37.760512540000001</v>
      </c>
      <c r="G53" s="18">
        <v>38731</v>
      </c>
      <c r="H53" s="38">
        <f>(Table3[[#This Row],[New_Followers]]-Table3[[#This Row],[Unfollows]])/Table3[[#This Row],[Total_Followers]]</f>
        <v>1.3557389454738823E-2</v>
      </c>
    </row>
    <row r="54" spans="1:8" ht="15" customHeight="1" thickBot="1" x14ac:dyDescent="0.35">
      <c r="A54" s="2">
        <v>45537</v>
      </c>
      <c r="B54" s="1" t="s">
        <v>22</v>
      </c>
      <c r="C54" s="3">
        <v>6448</v>
      </c>
      <c r="D54" s="3">
        <v>928</v>
      </c>
      <c r="E54" s="3">
        <v>396672</v>
      </c>
      <c r="F54" s="17">
        <v>30.11858664</v>
      </c>
      <c r="G54" s="18">
        <v>53922</v>
      </c>
      <c r="H54" s="38">
        <f>(Table3[[#This Row],[New_Followers]]-Table3[[#This Row],[Unfollows]])/Table3[[#This Row],[Total_Followers]]</f>
        <v>1.3915779283639884E-2</v>
      </c>
    </row>
    <row r="55" spans="1:8" ht="15" customHeight="1" thickBot="1" x14ac:dyDescent="0.35">
      <c r="A55" s="2">
        <v>45537</v>
      </c>
      <c r="B55" s="1" t="s">
        <v>22</v>
      </c>
      <c r="C55" s="3">
        <v>2179</v>
      </c>
      <c r="D55" s="3">
        <v>303</v>
      </c>
      <c r="E55" s="3">
        <v>398548</v>
      </c>
      <c r="F55" s="17">
        <v>33.909842730000001</v>
      </c>
      <c r="G55" s="18">
        <v>54848</v>
      </c>
      <c r="H55" s="38">
        <f>(Table3[[#This Row],[New_Followers]]-Table3[[#This Row],[Unfollows]])/Table3[[#This Row],[Total_Followers]]</f>
        <v>4.7070867248110645E-3</v>
      </c>
    </row>
    <row r="56" spans="1:8" ht="15" customHeight="1" thickBot="1" x14ac:dyDescent="0.35">
      <c r="A56" s="2">
        <v>45537</v>
      </c>
      <c r="B56" s="1" t="s">
        <v>13</v>
      </c>
      <c r="C56" s="3">
        <v>7406</v>
      </c>
      <c r="D56" s="3">
        <v>813</v>
      </c>
      <c r="E56" s="3">
        <v>405141</v>
      </c>
      <c r="F56" s="17">
        <v>24.45741112</v>
      </c>
      <c r="G56" s="18">
        <v>13390</v>
      </c>
      <c r="H56" s="38">
        <f>(Table3[[#This Row],[New_Followers]]-Table3[[#This Row],[Unfollows]])/Table3[[#This Row],[Total_Followers]]</f>
        <v>1.6273346810122897E-2</v>
      </c>
    </row>
    <row r="57" spans="1:8" ht="15" customHeight="1" thickBot="1" x14ac:dyDescent="0.35">
      <c r="A57" s="2">
        <v>45537</v>
      </c>
      <c r="B57" s="1" t="s">
        <v>1</v>
      </c>
      <c r="C57" s="3">
        <v>9591</v>
      </c>
      <c r="D57" s="3">
        <v>1363</v>
      </c>
      <c r="E57" s="3">
        <v>413369</v>
      </c>
      <c r="F57" s="17">
        <v>10.49425574</v>
      </c>
      <c r="G57" s="18">
        <v>15997</v>
      </c>
      <c r="H57" s="38">
        <f>(Table3[[#This Row],[New_Followers]]-Table3[[#This Row],[Unfollows]])/Table3[[#This Row],[Total_Followers]]</f>
        <v>1.9904734026983156E-2</v>
      </c>
    </row>
    <row r="58" spans="1:8" ht="15" customHeight="1" thickBot="1" x14ac:dyDescent="0.35">
      <c r="A58" s="2">
        <v>45544</v>
      </c>
      <c r="B58" s="1" t="s">
        <v>22</v>
      </c>
      <c r="C58" s="3">
        <v>7907</v>
      </c>
      <c r="D58" s="3">
        <v>465</v>
      </c>
      <c r="E58" s="3">
        <v>420811</v>
      </c>
      <c r="F58" s="17">
        <v>33.257448119999999</v>
      </c>
      <c r="G58" s="18">
        <v>22693</v>
      </c>
      <c r="H58" s="38">
        <f>(Table3[[#This Row],[New_Followers]]-Table3[[#This Row],[Unfollows]])/Table3[[#This Row],[Total_Followers]]</f>
        <v>1.76848989213685E-2</v>
      </c>
    </row>
    <row r="59" spans="1:8" ht="15" customHeight="1" thickBot="1" x14ac:dyDescent="0.35">
      <c r="A59" s="2">
        <v>45544</v>
      </c>
      <c r="B59" s="1" t="s">
        <v>6</v>
      </c>
      <c r="C59" s="3">
        <v>9800</v>
      </c>
      <c r="D59" s="3">
        <v>682</v>
      </c>
      <c r="E59" s="3">
        <v>429929</v>
      </c>
      <c r="F59" s="17">
        <v>6.2966210699999996</v>
      </c>
      <c r="G59" s="18">
        <v>59815</v>
      </c>
      <c r="H59" s="38">
        <f>(Table3[[#This Row],[New_Followers]]-Table3[[#This Row],[Unfollows]])/Table3[[#This Row],[Total_Followers]]</f>
        <v>2.1208152974095722E-2</v>
      </c>
    </row>
    <row r="60" spans="1:8" ht="15" customHeight="1" thickBot="1" x14ac:dyDescent="0.35">
      <c r="A60" s="2">
        <v>45544</v>
      </c>
      <c r="B60" s="1" t="s">
        <v>6</v>
      </c>
      <c r="C60" s="3">
        <v>2638</v>
      </c>
      <c r="D60" s="3">
        <v>143</v>
      </c>
      <c r="E60" s="3">
        <v>432424</v>
      </c>
      <c r="F60" s="17">
        <v>6.9547481180000004</v>
      </c>
      <c r="G60" s="18">
        <v>52092</v>
      </c>
      <c r="H60" s="38">
        <f>(Table3[[#This Row],[New_Followers]]-Table3[[#This Row],[Unfollows]])/Table3[[#This Row],[Total_Followers]]</f>
        <v>5.7698000111002165E-3</v>
      </c>
    </row>
    <row r="61" spans="1:8" ht="15" customHeight="1" thickBot="1" x14ac:dyDescent="0.35">
      <c r="A61" s="2">
        <v>45544</v>
      </c>
      <c r="B61" s="1" t="s">
        <v>1</v>
      </c>
      <c r="C61" s="3">
        <v>6671</v>
      </c>
      <c r="D61" s="3">
        <v>550</v>
      </c>
      <c r="E61" s="3">
        <v>438545</v>
      </c>
      <c r="F61" s="17">
        <v>17.750287879999998</v>
      </c>
      <c r="G61" s="18">
        <v>10541</v>
      </c>
      <c r="H61" s="38">
        <f>(Table3[[#This Row],[New_Followers]]-Table3[[#This Row],[Unfollows]])/Table3[[#This Row],[Total_Followers]]</f>
        <v>1.3957518612685129E-2</v>
      </c>
    </row>
    <row r="62" spans="1:8" ht="15" customHeight="1" thickBot="1" x14ac:dyDescent="0.35">
      <c r="A62" s="2">
        <v>45551</v>
      </c>
      <c r="B62" s="1" t="s">
        <v>6</v>
      </c>
      <c r="C62" s="3">
        <v>7928</v>
      </c>
      <c r="D62" s="3">
        <v>704</v>
      </c>
      <c r="E62" s="3">
        <v>445769</v>
      </c>
      <c r="F62" s="17">
        <v>11.194362999999999</v>
      </c>
      <c r="G62" s="18">
        <v>31817</v>
      </c>
      <c r="H62" s="38">
        <f>(Table3[[#This Row],[New_Followers]]-Table3[[#This Row],[Unfollows]])/Table3[[#This Row],[Total_Followers]]</f>
        <v>1.6205702953772022E-2</v>
      </c>
    </row>
    <row r="63" spans="1:8" ht="15" customHeight="1" thickBot="1" x14ac:dyDescent="0.35">
      <c r="A63" s="2">
        <v>45551</v>
      </c>
      <c r="B63" s="1" t="s">
        <v>1</v>
      </c>
      <c r="C63" s="3">
        <v>2382</v>
      </c>
      <c r="D63" s="3">
        <v>183</v>
      </c>
      <c r="E63" s="3">
        <v>447968</v>
      </c>
      <c r="F63" s="17">
        <v>4.7335970429999996</v>
      </c>
      <c r="G63" s="18">
        <v>47861</v>
      </c>
      <c r="H63" s="38">
        <f>(Table3[[#This Row],[New_Followers]]-Table3[[#This Row],[Unfollows]])/Table3[[#This Row],[Total_Followers]]</f>
        <v>4.9088327737695546E-3</v>
      </c>
    </row>
    <row r="64" spans="1:8" ht="15" customHeight="1" thickBot="1" x14ac:dyDescent="0.35">
      <c r="A64" s="2">
        <v>45551</v>
      </c>
      <c r="B64" s="1" t="s">
        <v>6</v>
      </c>
      <c r="C64" s="3">
        <v>2403</v>
      </c>
      <c r="D64" s="3">
        <v>319</v>
      </c>
      <c r="E64" s="3">
        <v>450052</v>
      </c>
      <c r="F64" s="17">
        <v>29.921209099999999</v>
      </c>
      <c r="G64" s="18">
        <v>23428</v>
      </c>
      <c r="H64" s="38">
        <f>(Table3[[#This Row],[New_Followers]]-Table3[[#This Row],[Unfollows]])/Table3[[#This Row],[Total_Followers]]</f>
        <v>4.6305760223263092E-3</v>
      </c>
    </row>
    <row r="65" spans="1:8" ht="15" customHeight="1" thickBot="1" x14ac:dyDescent="0.35">
      <c r="A65" s="2">
        <v>45551</v>
      </c>
      <c r="B65" s="1" t="s">
        <v>13</v>
      </c>
      <c r="C65" s="3">
        <v>4292</v>
      </c>
      <c r="D65" s="3">
        <v>367</v>
      </c>
      <c r="E65" s="3">
        <v>453977</v>
      </c>
      <c r="F65" s="17">
        <v>3.5037017289999999</v>
      </c>
      <c r="G65" s="18">
        <v>53934</v>
      </c>
      <c r="H65" s="38">
        <f>(Table3[[#This Row],[New_Followers]]-Table3[[#This Row],[Unfollows]])/Table3[[#This Row],[Total_Followers]]</f>
        <v>8.6458124530537899E-3</v>
      </c>
    </row>
    <row r="66" spans="1:8" ht="15" customHeight="1" thickBot="1" x14ac:dyDescent="0.35">
      <c r="A66" s="2">
        <v>45558</v>
      </c>
      <c r="B66" s="1" t="s">
        <v>22</v>
      </c>
      <c r="C66" s="3">
        <v>1419</v>
      </c>
      <c r="D66" s="3">
        <v>110</v>
      </c>
      <c r="E66" s="3">
        <v>455286</v>
      </c>
      <c r="F66" s="17">
        <v>31.554451490000002</v>
      </c>
      <c r="G66" s="18">
        <v>58831</v>
      </c>
      <c r="H66" s="38">
        <f>(Table3[[#This Row],[New_Followers]]-Table3[[#This Row],[Unfollows]])/Table3[[#This Row],[Total_Followers]]</f>
        <v>2.8751158612388694E-3</v>
      </c>
    </row>
    <row r="67" spans="1:8" ht="15" customHeight="1" thickBot="1" x14ac:dyDescent="0.35">
      <c r="A67" s="2">
        <v>45558</v>
      </c>
      <c r="B67" s="1" t="s">
        <v>13</v>
      </c>
      <c r="C67" s="3">
        <v>5517</v>
      </c>
      <c r="D67" s="3">
        <v>575</v>
      </c>
      <c r="E67" s="3">
        <v>460228</v>
      </c>
      <c r="F67" s="17">
        <v>29.458442340000001</v>
      </c>
      <c r="G67" s="18">
        <v>20258</v>
      </c>
      <c r="H67" s="38">
        <f>(Table3[[#This Row],[New_Followers]]-Table3[[#This Row],[Unfollows]])/Table3[[#This Row],[Total_Followers]]</f>
        <v>1.07381558705685E-2</v>
      </c>
    </row>
    <row r="68" spans="1:8" ht="15" customHeight="1" thickBot="1" x14ac:dyDescent="0.35">
      <c r="A68" s="2">
        <v>45558</v>
      </c>
      <c r="B68" s="1" t="s">
        <v>22</v>
      </c>
      <c r="C68" s="3">
        <v>4302</v>
      </c>
      <c r="D68" s="3">
        <v>275</v>
      </c>
      <c r="E68" s="3">
        <v>464255</v>
      </c>
      <c r="F68" s="17">
        <v>15.72131695</v>
      </c>
      <c r="G68" s="18">
        <v>26044</v>
      </c>
      <c r="H68" s="38">
        <f>(Table3[[#This Row],[New_Followers]]-Table3[[#This Row],[Unfollows]])/Table3[[#This Row],[Total_Followers]]</f>
        <v>8.6741122874282456E-3</v>
      </c>
    </row>
    <row r="69" spans="1:8" ht="15" customHeight="1" thickBot="1" x14ac:dyDescent="0.35">
      <c r="A69" s="2">
        <v>45558</v>
      </c>
      <c r="B69" s="1" t="s">
        <v>22</v>
      </c>
      <c r="C69" s="3">
        <v>8857</v>
      </c>
      <c r="D69" s="3">
        <v>1153</v>
      </c>
      <c r="E69" s="3">
        <v>471959</v>
      </c>
      <c r="F69" s="17">
        <v>19.214592790000001</v>
      </c>
      <c r="G69" s="18">
        <v>39411</v>
      </c>
      <c r="H69" s="38">
        <f>(Table3[[#This Row],[New_Followers]]-Table3[[#This Row],[Unfollows]])/Table3[[#This Row],[Total_Followers]]</f>
        <v>1.6323451825264481E-2</v>
      </c>
    </row>
    <row r="70" spans="1:8" ht="15" customHeight="1" thickBot="1" x14ac:dyDescent="0.35">
      <c r="A70" s="2">
        <v>45565</v>
      </c>
      <c r="B70" s="1" t="s">
        <v>22</v>
      </c>
      <c r="C70" s="3">
        <v>8870</v>
      </c>
      <c r="D70" s="3">
        <v>509</v>
      </c>
      <c r="E70" s="3">
        <v>480320</v>
      </c>
      <c r="F70" s="17">
        <v>25.077864760000001</v>
      </c>
      <c r="G70" s="18">
        <v>15469</v>
      </c>
      <c r="H70" s="38">
        <f>(Table3[[#This Row],[New_Followers]]-Table3[[#This Row],[Unfollows]])/Table3[[#This Row],[Total_Followers]]</f>
        <v>1.7407145236508995E-2</v>
      </c>
    </row>
    <row r="71" spans="1:8" ht="15" customHeight="1" thickBot="1" x14ac:dyDescent="0.35">
      <c r="A71" s="2">
        <v>45565</v>
      </c>
      <c r="B71" s="1" t="s">
        <v>13</v>
      </c>
      <c r="C71" s="3">
        <v>6693</v>
      </c>
      <c r="D71" s="3">
        <v>995</v>
      </c>
      <c r="E71" s="3">
        <v>486018</v>
      </c>
      <c r="F71" s="17">
        <v>23.761877129999998</v>
      </c>
      <c r="G71" s="18">
        <v>38854</v>
      </c>
      <c r="H71" s="38">
        <f>(Table3[[#This Row],[New_Followers]]-Table3[[#This Row],[Unfollows]])/Table3[[#This Row],[Total_Followers]]</f>
        <v>1.1723845618886543E-2</v>
      </c>
    </row>
    <row r="72" spans="1:8" ht="15" customHeight="1" thickBot="1" x14ac:dyDescent="0.35">
      <c r="A72" s="2">
        <v>45565</v>
      </c>
      <c r="B72" s="1" t="s">
        <v>22</v>
      </c>
      <c r="C72" s="3">
        <v>1767</v>
      </c>
      <c r="D72" s="3">
        <v>224</v>
      </c>
      <c r="E72" s="3">
        <v>487561</v>
      </c>
      <c r="F72" s="17">
        <v>13.20860364</v>
      </c>
      <c r="G72" s="18">
        <v>16256</v>
      </c>
      <c r="H72" s="38">
        <f>(Table3[[#This Row],[New_Followers]]-Table3[[#This Row],[Unfollows]])/Table3[[#This Row],[Total_Followers]]</f>
        <v>3.1647322078673231E-3</v>
      </c>
    </row>
    <row r="73" spans="1:8" ht="15" customHeight="1" thickBot="1" x14ac:dyDescent="0.35">
      <c r="A73" s="2">
        <v>45565</v>
      </c>
      <c r="B73" s="1" t="s">
        <v>13</v>
      </c>
      <c r="C73" s="3">
        <v>3044</v>
      </c>
      <c r="D73" s="3">
        <v>212</v>
      </c>
      <c r="E73" s="3">
        <v>490393</v>
      </c>
      <c r="F73" s="17">
        <v>8.5343795690000004</v>
      </c>
      <c r="G73" s="18">
        <v>20720</v>
      </c>
      <c r="H73" s="38">
        <f>(Table3[[#This Row],[New_Followers]]-Table3[[#This Row],[Unfollows]])/Table3[[#This Row],[Total_Followers]]</f>
        <v>5.7749600830354431E-3</v>
      </c>
    </row>
    <row r="74" spans="1:8" ht="15" customHeight="1" thickBot="1" x14ac:dyDescent="0.35">
      <c r="A74" s="2">
        <v>45572</v>
      </c>
      <c r="B74" s="1" t="s">
        <v>1</v>
      </c>
      <c r="C74" s="3">
        <v>2549</v>
      </c>
      <c r="D74" s="3">
        <v>128</v>
      </c>
      <c r="E74" s="3">
        <v>492814</v>
      </c>
      <c r="F74" s="17">
        <v>12.73421615</v>
      </c>
      <c r="G74" s="18">
        <v>43937</v>
      </c>
      <c r="H74" s="38">
        <f>(Table3[[#This Row],[New_Followers]]-Table3[[#This Row],[Unfollows]])/Table3[[#This Row],[Total_Followers]]</f>
        <v>4.9126039438814641E-3</v>
      </c>
    </row>
    <row r="75" spans="1:8" ht="15" customHeight="1" thickBot="1" x14ac:dyDescent="0.35">
      <c r="A75" s="2">
        <v>45572</v>
      </c>
      <c r="B75" s="1" t="s">
        <v>6</v>
      </c>
      <c r="C75" s="3">
        <v>7140</v>
      </c>
      <c r="D75" s="3">
        <v>939</v>
      </c>
      <c r="E75" s="3">
        <v>499015</v>
      </c>
      <c r="F75" s="17">
        <v>25.120888149999999</v>
      </c>
      <c r="G75" s="18">
        <v>43598</v>
      </c>
      <c r="H75" s="38">
        <f>(Table3[[#This Row],[New_Followers]]-Table3[[#This Row],[Unfollows]])/Table3[[#This Row],[Total_Followers]]</f>
        <v>1.2426480165926877E-2</v>
      </c>
    </row>
    <row r="76" spans="1:8" ht="15" customHeight="1" thickBot="1" x14ac:dyDescent="0.35">
      <c r="A76" s="2">
        <v>45572</v>
      </c>
      <c r="B76" s="1" t="s">
        <v>6</v>
      </c>
      <c r="C76" s="3">
        <v>4716</v>
      </c>
      <c r="D76" s="3">
        <v>569</v>
      </c>
      <c r="E76" s="3">
        <v>503162</v>
      </c>
      <c r="F76" s="17">
        <v>25.64820078</v>
      </c>
      <c r="G76" s="18">
        <v>11651</v>
      </c>
      <c r="H76" s="38">
        <f>(Table3[[#This Row],[New_Followers]]-Table3[[#This Row],[Unfollows]])/Table3[[#This Row],[Total_Followers]]</f>
        <v>8.2418783612434963E-3</v>
      </c>
    </row>
    <row r="77" spans="1:8" ht="15" customHeight="1" thickBot="1" x14ac:dyDescent="0.35">
      <c r="A77" s="2">
        <v>45572</v>
      </c>
      <c r="B77" s="1" t="s">
        <v>22</v>
      </c>
      <c r="C77" s="3">
        <v>5481</v>
      </c>
      <c r="D77" s="3">
        <v>673</v>
      </c>
      <c r="E77" s="3">
        <v>507970</v>
      </c>
      <c r="F77" s="17">
        <v>13.087583909999999</v>
      </c>
      <c r="G77" s="18">
        <v>29194</v>
      </c>
      <c r="H77" s="38">
        <f>(Table3[[#This Row],[New_Followers]]-Table3[[#This Row],[Unfollows]])/Table3[[#This Row],[Total_Followers]]</f>
        <v>9.4651258932614123E-3</v>
      </c>
    </row>
    <row r="78" spans="1:8" ht="15" customHeight="1" thickBot="1" x14ac:dyDescent="0.35">
      <c r="A78" s="2">
        <v>45579</v>
      </c>
      <c r="B78" s="1" t="s">
        <v>13</v>
      </c>
      <c r="C78" s="3">
        <v>8898</v>
      </c>
      <c r="D78" s="3">
        <v>1131</v>
      </c>
      <c r="E78" s="3">
        <v>515737</v>
      </c>
      <c r="F78" s="17">
        <v>2.1877429780000002</v>
      </c>
      <c r="G78" s="18">
        <v>35051</v>
      </c>
      <c r="H78" s="38">
        <f>(Table3[[#This Row],[New_Followers]]-Table3[[#This Row],[Unfollows]])/Table3[[#This Row],[Total_Followers]]</f>
        <v>1.5060001512398761E-2</v>
      </c>
    </row>
    <row r="79" spans="1:8" ht="15" customHeight="1" thickBot="1" x14ac:dyDescent="0.35">
      <c r="A79" s="2">
        <v>45579</v>
      </c>
      <c r="B79" s="1" t="s">
        <v>6</v>
      </c>
      <c r="C79" s="3">
        <v>7548</v>
      </c>
      <c r="D79" s="3">
        <v>433</v>
      </c>
      <c r="E79" s="3">
        <v>522852</v>
      </c>
      <c r="F79" s="17">
        <v>8.3562843789999999</v>
      </c>
      <c r="G79" s="18">
        <v>37386</v>
      </c>
      <c r="H79" s="38">
        <f>(Table3[[#This Row],[New_Followers]]-Table3[[#This Row],[Unfollows]])/Table3[[#This Row],[Total_Followers]]</f>
        <v>1.3608057347012157E-2</v>
      </c>
    </row>
    <row r="80" spans="1:8" ht="15" customHeight="1" thickBot="1" x14ac:dyDescent="0.35">
      <c r="A80" s="2">
        <v>45579</v>
      </c>
      <c r="B80" s="1" t="s">
        <v>13</v>
      </c>
      <c r="C80" s="3">
        <v>3293</v>
      </c>
      <c r="D80" s="3">
        <v>282</v>
      </c>
      <c r="E80" s="3">
        <v>525863</v>
      </c>
      <c r="F80" s="17">
        <v>27.040693109999999</v>
      </c>
      <c r="G80" s="18">
        <v>19518</v>
      </c>
      <c r="H80" s="38">
        <f>(Table3[[#This Row],[New_Followers]]-Table3[[#This Row],[Unfollows]])/Table3[[#This Row],[Total_Followers]]</f>
        <v>5.7258259280458983E-3</v>
      </c>
    </row>
    <row r="81" spans="1:8" ht="15" customHeight="1" thickBot="1" x14ac:dyDescent="0.35">
      <c r="A81" s="2">
        <v>45579</v>
      </c>
      <c r="B81" s="1" t="s">
        <v>13</v>
      </c>
      <c r="C81" s="3">
        <v>5837</v>
      </c>
      <c r="D81" s="3">
        <v>359</v>
      </c>
      <c r="E81" s="3">
        <v>531341</v>
      </c>
      <c r="F81" s="17">
        <v>6.8073045370000003</v>
      </c>
      <c r="G81" s="18">
        <v>56026</v>
      </c>
      <c r="H81" s="38">
        <f>(Table3[[#This Row],[New_Followers]]-Table3[[#This Row],[Unfollows]])/Table3[[#This Row],[Total_Followers]]</f>
        <v>1.0309763409938251E-2</v>
      </c>
    </row>
    <row r="82" spans="1:8" ht="15" customHeight="1" thickBot="1" x14ac:dyDescent="0.35">
      <c r="A82" s="2">
        <v>45586</v>
      </c>
      <c r="B82" s="1" t="s">
        <v>22</v>
      </c>
      <c r="C82" s="3">
        <v>8758</v>
      </c>
      <c r="D82" s="3">
        <v>1193</v>
      </c>
      <c r="E82" s="3">
        <v>538906</v>
      </c>
      <c r="F82" s="17">
        <v>3.4213758990000001</v>
      </c>
      <c r="G82" s="18">
        <v>26184</v>
      </c>
      <c r="H82" s="38">
        <f>(Table3[[#This Row],[New_Followers]]-Table3[[#This Row],[Unfollows]])/Table3[[#This Row],[Total_Followers]]</f>
        <v>1.4037698596786824E-2</v>
      </c>
    </row>
    <row r="83" spans="1:8" ht="15" customHeight="1" thickBot="1" x14ac:dyDescent="0.35">
      <c r="A83" s="2">
        <v>45586</v>
      </c>
      <c r="B83" s="1" t="s">
        <v>6</v>
      </c>
      <c r="C83" s="3">
        <v>7793</v>
      </c>
      <c r="D83" s="3">
        <v>875</v>
      </c>
      <c r="E83" s="3">
        <v>545824</v>
      </c>
      <c r="F83" s="17">
        <v>5.5136820660000003</v>
      </c>
      <c r="G83" s="18">
        <v>43787</v>
      </c>
      <c r="H83" s="38">
        <f>(Table3[[#This Row],[New_Followers]]-Table3[[#This Row],[Unfollows]])/Table3[[#This Row],[Total_Followers]]</f>
        <v>1.267441519610717E-2</v>
      </c>
    </row>
    <row r="84" spans="1:8" ht="15" customHeight="1" thickBot="1" x14ac:dyDescent="0.35">
      <c r="A84" s="2">
        <v>45586</v>
      </c>
      <c r="B84" s="1" t="s">
        <v>22</v>
      </c>
      <c r="C84" s="3">
        <v>8638</v>
      </c>
      <c r="D84" s="3">
        <v>717</v>
      </c>
      <c r="E84" s="3">
        <v>553745</v>
      </c>
      <c r="F84" s="17">
        <v>26.921416900000001</v>
      </c>
      <c r="G84" s="18">
        <v>31621</v>
      </c>
      <c r="H84" s="38">
        <f>(Table3[[#This Row],[New_Followers]]-Table3[[#This Row],[Unfollows]])/Table3[[#This Row],[Total_Followers]]</f>
        <v>1.4304418098583283E-2</v>
      </c>
    </row>
    <row r="85" spans="1:8" ht="15" customHeight="1" thickBot="1" x14ac:dyDescent="0.35">
      <c r="A85" s="2">
        <v>45586</v>
      </c>
      <c r="B85" s="1" t="s">
        <v>22</v>
      </c>
      <c r="C85" s="3">
        <v>8993</v>
      </c>
      <c r="D85" s="3">
        <v>506</v>
      </c>
      <c r="E85" s="3">
        <v>562232</v>
      </c>
      <c r="F85" s="17">
        <v>3.5131404829999999</v>
      </c>
      <c r="G85" s="18">
        <v>20028</v>
      </c>
      <c r="H85" s="38">
        <f>(Table3[[#This Row],[New_Followers]]-Table3[[#This Row],[Unfollows]])/Table3[[#This Row],[Total_Followers]]</f>
        <v>1.509519202037593E-2</v>
      </c>
    </row>
    <row r="86" spans="1:8" ht="15" customHeight="1" thickBot="1" x14ac:dyDescent="0.35">
      <c r="A86" s="2">
        <v>45593</v>
      </c>
      <c r="B86" s="1" t="s">
        <v>6</v>
      </c>
      <c r="C86" s="3">
        <v>7007</v>
      </c>
      <c r="D86" s="3">
        <v>568</v>
      </c>
      <c r="E86" s="3">
        <v>568671</v>
      </c>
      <c r="F86" s="17">
        <v>11.505070590000001</v>
      </c>
      <c r="G86" s="18">
        <v>22448</v>
      </c>
      <c r="H86" s="38">
        <f>(Table3[[#This Row],[New_Followers]]-Table3[[#This Row],[Unfollows]])/Table3[[#This Row],[Total_Followers]]</f>
        <v>1.1322891443382905E-2</v>
      </c>
    </row>
    <row r="87" spans="1:8" ht="15" customHeight="1" thickBot="1" x14ac:dyDescent="0.35">
      <c r="A87" s="2">
        <v>45593</v>
      </c>
      <c r="B87" s="1" t="s">
        <v>6</v>
      </c>
      <c r="C87" s="3">
        <v>6542</v>
      </c>
      <c r="D87" s="3">
        <v>539</v>
      </c>
      <c r="E87" s="3">
        <v>574674</v>
      </c>
      <c r="F87" s="17">
        <v>6.4069368019999997</v>
      </c>
      <c r="G87" s="18">
        <v>55253</v>
      </c>
      <c r="H87" s="38">
        <f>(Table3[[#This Row],[New_Followers]]-Table3[[#This Row],[Unfollows]])/Table3[[#This Row],[Total_Followers]]</f>
        <v>1.0445922383821088E-2</v>
      </c>
    </row>
    <row r="88" spans="1:8" ht="15" customHeight="1" thickBot="1" x14ac:dyDescent="0.35">
      <c r="A88" s="2">
        <v>45593</v>
      </c>
      <c r="B88" s="1" t="s">
        <v>1</v>
      </c>
      <c r="C88" s="3">
        <v>7356</v>
      </c>
      <c r="D88" s="3">
        <v>904</v>
      </c>
      <c r="E88" s="3">
        <v>581126</v>
      </c>
      <c r="F88" s="17">
        <v>17.560907619999998</v>
      </c>
      <c r="G88" s="18">
        <v>44051</v>
      </c>
      <c r="H88" s="38">
        <f>(Table3[[#This Row],[New_Followers]]-Table3[[#This Row],[Unfollows]])/Table3[[#This Row],[Total_Followers]]</f>
        <v>1.1102583604932494E-2</v>
      </c>
    </row>
    <row r="89" spans="1:8" ht="15" customHeight="1" thickBot="1" x14ac:dyDescent="0.35">
      <c r="A89" s="2">
        <v>45593</v>
      </c>
      <c r="B89" s="1" t="s">
        <v>1</v>
      </c>
      <c r="C89" s="3">
        <v>9433</v>
      </c>
      <c r="D89" s="3">
        <v>1073</v>
      </c>
      <c r="E89" s="3">
        <v>589486</v>
      </c>
      <c r="F89" s="17">
        <v>7.2934726190000001</v>
      </c>
      <c r="G89" s="18">
        <v>59811</v>
      </c>
      <c r="H89" s="38">
        <f>(Table3[[#This Row],[New_Followers]]-Table3[[#This Row],[Unfollows]])/Table3[[#This Row],[Total_Followers]]</f>
        <v>1.4181846557848703E-2</v>
      </c>
    </row>
    <row r="90" spans="1:8" ht="15" customHeight="1" thickBot="1" x14ac:dyDescent="0.35">
      <c r="A90" s="2">
        <v>45600</v>
      </c>
      <c r="B90" s="1" t="s">
        <v>13</v>
      </c>
      <c r="C90" s="3">
        <v>8380</v>
      </c>
      <c r="D90" s="3">
        <v>1162</v>
      </c>
      <c r="E90" s="3">
        <v>596704</v>
      </c>
      <c r="F90" s="17">
        <v>18.05853488</v>
      </c>
      <c r="G90" s="18">
        <v>40447</v>
      </c>
      <c r="H90" s="38">
        <f>(Table3[[#This Row],[New_Followers]]-Table3[[#This Row],[Unfollows]])/Table3[[#This Row],[Total_Followers]]</f>
        <v>1.2096449831072022E-2</v>
      </c>
    </row>
    <row r="91" spans="1:8" ht="15" customHeight="1" thickBot="1" x14ac:dyDescent="0.35">
      <c r="A91" s="2">
        <v>45600</v>
      </c>
      <c r="B91" s="1" t="s">
        <v>6</v>
      </c>
      <c r="C91" s="3">
        <v>3385</v>
      </c>
      <c r="D91" s="3">
        <v>329</v>
      </c>
      <c r="E91" s="3">
        <v>599760</v>
      </c>
      <c r="F91" s="17">
        <v>17.617880490000001</v>
      </c>
      <c r="G91" s="18">
        <v>28394</v>
      </c>
      <c r="H91" s="38">
        <f>(Table3[[#This Row],[New_Followers]]-Table3[[#This Row],[Unfollows]])/Table3[[#This Row],[Total_Followers]]</f>
        <v>5.0953714819261036E-3</v>
      </c>
    </row>
    <row r="92" spans="1:8" ht="15" customHeight="1" thickBot="1" x14ac:dyDescent="0.35">
      <c r="A92" s="2">
        <v>45600</v>
      </c>
      <c r="B92" s="1" t="s">
        <v>1</v>
      </c>
      <c r="C92" s="3">
        <v>5268</v>
      </c>
      <c r="D92" s="3">
        <v>326</v>
      </c>
      <c r="E92" s="3">
        <v>604702</v>
      </c>
      <c r="F92" s="17">
        <v>23.43584113</v>
      </c>
      <c r="G92" s="18">
        <v>44501</v>
      </c>
      <c r="H92" s="38">
        <f>(Table3[[#This Row],[New_Followers]]-Table3[[#This Row],[Unfollows]])/Table3[[#This Row],[Total_Followers]]</f>
        <v>8.1726205635172366E-3</v>
      </c>
    </row>
    <row r="93" spans="1:8" ht="15" customHeight="1" thickBot="1" x14ac:dyDescent="0.35">
      <c r="A93" s="2">
        <v>45600</v>
      </c>
      <c r="B93" s="1" t="s">
        <v>13</v>
      </c>
      <c r="C93" s="3">
        <v>1671</v>
      </c>
      <c r="D93" s="3">
        <v>202</v>
      </c>
      <c r="E93" s="3">
        <v>606171</v>
      </c>
      <c r="F93" s="17">
        <v>15.150015420000001</v>
      </c>
      <c r="G93" s="18">
        <v>40254</v>
      </c>
      <c r="H93" s="38">
        <f>(Table3[[#This Row],[New_Followers]]-Table3[[#This Row],[Unfollows]])/Table3[[#This Row],[Total_Followers]]</f>
        <v>2.4234085761278583E-3</v>
      </c>
    </row>
    <row r="94" spans="1:8" ht="15" customHeight="1" thickBot="1" x14ac:dyDescent="0.35">
      <c r="A94" s="2">
        <v>45607</v>
      </c>
      <c r="B94" s="1" t="s">
        <v>13</v>
      </c>
      <c r="C94" s="3">
        <v>1163</v>
      </c>
      <c r="D94" s="3">
        <v>146</v>
      </c>
      <c r="E94" s="3">
        <v>607188</v>
      </c>
      <c r="F94" s="17">
        <v>21.777768989999998</v>
      </c>
      <c r="G94" s="18">
        <v>28509</v>
      </c>
      <c r="H94" s="38">
        <f>(Table3[[#This Row],[New_Followers]]-Table3[[#This Row],[Unfollows]])/Table3[[#This Row],[Total_Followers]]</f>
        <v>1.6749342872388782E-3</v>
      </c>
    </row>
    <row r="95" spans="1:8" ht="15" customHeight="1" thickBot="1" x14ac:dyDescent="0.35">
      <c r="A95" s="2">
        <v>45607</v>
      </c>
      <c r="B95" s="1" t="s">
        <v>13</v>
      </c>
      <c r="C95" s="3">
        <v>9656</v>
      </c>
      <c r="D95" s="3">
        <v>1024</v>
      </c>
      <c r="E95" s="3">
        <v>615820</v>
      </c>
      <c r="F95" s="17">
        <v>8.7252768669999998</v>
      </c>
      <c r="G95" s="18">
        <v>58998</v>
      </c>
      <c r="H95" s="38">
        <f>(Table3[[#This Row],[New_Followers]]-Table3[[#This Row],[Unfollows]])/Table3[[#This Row],[Total_Followers]]</f>
        <v>1.401708291383846E-2</v>
      </c>
    </row>
    <row r="96" spans="1:8" ht="15" customHeight="1" thickBot="1" x14ac:dyDescent="0.35">
      <c r="A96" s="2">
        <v>45607</v>
      </c>
      <c r="B96" s="1" t="s">
        <v>1</v>
      </c>
      <c r="C96" s="3">
        <v>5592</v>
      </c>
      <c r="D96" s="3">
        <v>710</v>
      </c>
      <c r="E96" s="3">
        <v>620702</v>
      </c>
      <c r="F96" s="17">
        <v>9.0711806950000007</v>
      </c>
      <c r="G96" s="18">
        <v>24472</v>
      </c>
      <c r="H96" s="38">
        <f>(Table3[[#This Row],[New_Followers]]-Table3[[#This Row],[Unfollows]])/Table3[[#This Row],[Total_Followers]]</f>
        <v>7.8652880126050834E-3</v>
      </c>
    </row>
    <row r="97" spans="1:8" ht="15" customHeight="1" thickBot="1" x14ac:dyDescent="0.35">
      <c r="A97" s="2">
        <v>45607</v>
      </c>
      <c r="B97" s="1" t="s">
        <v>6</v>
      </c>
      <c r="C97" s="3">
        <v>5795</v>
      </c>
      <c r="D97" s="3">
        <v>575</v>
      </c>
      <c r="E97" s="3">
        <v>625922</v>
      </c>
      <c r="F97" s="17">
        <v>3.0908004509999998</v>
      </c>
      <c r="G97" s="18">
        <v>55657</v>
      </c>
      <c r="H97" s="38">
        <f>(Table3[[#This Row],[New_Followers]]-Table3[[#This Row],[Unfollows]])/Table3[[#This Row],[Total_Followers]]</f>
        <v>8.3396972785746461E-3</v>
      </c>
    </row>
    <row r="98" spans="1:8" ht="15" customHeight="1" thickBot="1" x14ac:dyDescent="0.35">
      <c r="A98" s="2">
        <v>45614</v>
      </c>
      <c r="B98" s="1" t="s">
        <v>22</v>
      </c>
      <c r="C98" s="3">
        <v>5798</v>
      </c>
      <c r="D98" s="3">
        <v>592</v>
      </c>
      <c r="E98" s="3">
        <v>631128</v>
      </c>
      <c r="F98" s="17">
        <v>1.677472716</v>
      </c>
      <c r="G98" s="18">
        <v>13471</v>
      </c>
      <c r="H98" s="38">
        <f>(Table3[[#This Row],[New_Followers]]-Table3[[#This Row],[Unfollows]])/Table3[[#This Row],[Total_Followers]]</f>
        <v>8.2487229214992831E-3</v>
      </c>
    </row>
    <row r="99" spans="1:8" ht="15" customHeight="1" thickBot="1" x14ac:dyDescent="0.35">
      <c r="A99" s="2">
        <v>45614</v>
      </c>
      <c r="B99" s="1" t="s">
        <v>13</v>
      </c>
      <c r="C99" s="3">
        <v>7036</v>
      </c>
      <c r="D99" s="3">
        <v>652</v>
      </c>
      <c r="E99" s="3">
        <v>637512</v>
      </c>
      <c r="F99" s="17">
        <v>3.570599455</v>
      </c>
      <c r="G99" s="18">
        <v>51796</v>
      </c>
      <c r="H99" s="38">
        <f>(Table3[[#This Row],[New_Followers]]-Table3[[#This Row],[Unfollows]])/Table3[[#This Row],[Total_Followers]]</f>
        <v>1.0013929149568949E-2</v>
      </c>
    </row>
    <row r="100" spans="1:8" ht="15" customHeight="1" thickBot="1" x14ac:dyDescent="0.35">
      <c r="A100" s="2">
        <v>45614</v>
      </c>
      <c r="B100" s="1" t="s">
        <v>1</v>
      </c>
      <c r="C100" s="3">
        <v>3355</v>
      </c>
      <c r="D100" s="3">
        <v>176</v>
      </c>
      <c r="E100" s="3">
        <v>640691</v>
      </c>
      <c r="F100" s="17">
        <v>12.426427090000001</v>
      </c>
      <c r="G100" s="18">
        <v>40268</v>
      </c>
      <c r="H100" s="38">
        <f>(Table3[[#This Row],[New_Followers]]-Table3[[#This Row],[Unfollows]])/Table3[[#This Row],[Total_Followers]]</f>
        <v>4.9618302738761748E-3</v>
      </c>
    </row>
    <row r="101" spans="1:8" ht="15" customHeight="1" thickBot="1" x14ac:dyDescent="0.35">
      <c r="A101" s="2">
        <v>45614</v>
      </c>
      <c r="B101" s="1" t="s">
        <v>1</v>
      </c>
      <c r="C101" s="3">
        <v>6887</v>
      </c>
      <c r="D101" s="3">
        <v>418</v>
      </c>
      <c r="E101" s="3">
        <v>647160</v>
      </c>
      <c r="F101" s="17">
        <v>20.240280609999999</v>
      </c>
      <c r="G101" s="18">
        <v>18329</v>
      </c>
      <c r="H101" s="38">
        <f>(Table3[[#This Row],[New_Followers]]-Table3[[#This Row],[Unfollows]])/Table3[[#This Row],[Total_Followers]]</f>
        <v>9.9959824463811114E-3</v>
      </c>
    </row>
    <row r="102" spans="1:8" ht="15" customHeight="1" thickBot="1" x14ac:dyDescent="0.35">
      <c r="A102" s="2">
        <v>45621</v>
      </c>
      <c r="B102" s="1" t="s">
        <v>22</v>
      </c>
      <c r="C102" s="3">
        <v>8961</v>
      </c>
      <c r="D102" s="3">
        <v>476</v>
      </c>
      <c r="E102" s="3">
        <v>655645</v>
      </c>
      <c r="F102" s="17">
        <v>15.458517949999999</v>
      </c>
      <c r="G102" s="18">
        <v>44865</v>
      </c>
      <c r="H102" s="38">
        <f>(Table3[[#This Row],[New_Followers]]-Table3[[#This Row],[Unfollows]])/Table3[[#This Row],[Total_Followers]]</f>
        <v>1.2941454598143812E-2</v>
      </c>
    </row>
    <row r="103" spans="1:8" ht="15" customHeight="1" thickBot="1" x14ac:dyDescent="0.35">
      <c r="A103" s="2">
        <v>45621</v>
      </c>
      <c r="B103" s="1" t="s">
        <v>22</v>
      </c>
      <c r="C103" s="3">
        <v>6827</v>
      </c>
      <c r="D103" s="3">
        <v>775</v>
      </c>
      <c r="E103" s="3">
        <v>661697</v>
      </c>
      <c r="F103" s="17">
        <v>15.96622019</v>
      </c>
      <c r="G103" s="18">
        <v>56850</v>
      </c>
      <c r="H103" s="38">
        <f>(Table3[[#This Row],[New_Followers]]-Table3[[#This Row],[Unfollows]])/Table3[[#This Row],[Total_Followers]]</f>
        <v>9.1461802003031598E-3</v>
      </c>
    </row>
    <row r="104" spans="1:8" ht="15" customHeight="1" thickBot="1" x14ac:dyDescent="0.35">
      <c r="A104" s="2">
        <v>45621</v>
      </c>
      <c r="B104" s="1" t="s">
        <v>1</v>
      </c>
      <c r="C104" s="3">
        <v>9737</v>
      </c>
      <c r="D104" s="3">
        <v>792</v>
      </c>
      <c r="E104" s="3">
        <v>670642</v>
      </c>
      <c r="F104" s="17">
        <v>5.3017854529999999</v>
      </c>
      <c r="G104" s="18">
        <v>56698</v>
      </c>
      <c r="H104" s="38">
        <f>(Table3[[#This Row],[New_Followers]]-Table3[[#This Row],[Unfollows]])/Table3[[#This Row],[Total_Followers]]</f>
        <v>1.3337965710468476E-2</v>
      </c>
    </row>
    <row r="105" spans="1:8" ht="15" customHeight="1" thickBot="1" x14ac:dyDescent="0.35">
      <c r="A105" s="2">
        <v>45621</v>
      </c>
      <c r="B105" s="1" t="s">
        <v>6</v>
      </c>
      <c r="C105" s="3">
        <v>5719</v>
      </c>
      <c r="D105" s="3">
        <v>576</v>
      </c>
      <c r="E105" s="3">
        <v>675785</v>
      </c>
      <c r="F105" s="17">
        <v>10.216562959999999</v>
      </c>
      <c r="G105" s="18">
        <v>38272</v>
      </c>
      <c r="H105" s="38">
        <f>(Table3[[#This Row],[New_Followers]]-Table3[[#This Row],[Unfollows]])/Table3[[#This Row],[Total_Followers]]</f>
        <v>7.6104086358827145E-3</v>
      </c>
    </row>
    <row r="106" spans="1:8" ht="15" customHeight="1" thickBot="1" x14ac:dyDescent="0.35">
      <c r="A106" s="2">
        <v>45628</v>
      </c>
      <c r="B106" s="1" t="s">
        <v>22</v>
      </c>
      <c r="C106" s="3">
        <v>1593</v>
      </c>
      <c r="D106" s="3">
        <v>224</v>
      </c>
      <c r="E106" s="3">
        <v>677154</v>
      </c>
      <c r="F106" s="17">
        <v>4.1495730660000003</v>
      </c>
      <c r="G106" s="18">
        <v>52845</v>
      </c>
      <c r="H106" s="38">
        <f>(Table3[[#This Row],[New_Followers]]-Table3[[#This Row],[Unfollows]])/Table3[[#This Row],[Total_Followers]]</f>
        <v>2.0216966893793729E-3</v>
      </c>
    </row>
    <row r="107" spans="1:8" ht="15" customHeight="1" thickBot="1" x14ac:dyDescent="0.35">
      <c r="A107" s="2">
        <v>45628</v>
      </c>
      <c r="B107" s="1" t="s">
        <v>1</v>
      </c>
      <c r="C107" s="3">
        <v>5839</v>
      </c>
      <c r="D107" s="3">
        <v>437</v>
      </c>
      <c r="E107" s="3">
        <v>682556</v>
      </c>
      <c r="F107" s="17">
        <v>17.447506140000002</v>
      </c>
      <c r="G107" s="18">
        <v>16397</v>
      </c>
      <c r="H107" s="38">
        <f>(Table3[[#This Row],[New_Followers]]-Table3[[#This Row],[Unfollows]])/Table3[[#This Row],[Total_Followers]]</f>
        <v>7.9143689309009082E-3</v>
      </c>
    </row>
    <row r="108" spans="1:8" ht="15" customHeight="1" thickBot="1" x14ac:dyDescent="0.35">
      <c r="A108" s="2">
        <v>45628</v>
      </c>
      <c r="B108" s="1" t="s">
        <v>22</v>
      </c>
      <c r="C108" s="3">
        <v>8394</v>
      </c>
      <c r="D108" s="3">
        <v>764</v>
      </c>
      <c r="E108" s="3">
        <v>690186</v>
      </c>
      <c r="F108" s="17">
        <v>6.3556780350000004</v>
      </c>
      <c r="G108" s="18">
        <v>42373</v>
      </c>
      <c r="H108" s="38">
        <f>(Table3[[#This Row],[New_Followers]]-Table3[[#This Row],[Unfollows]])/Table3[[#This Row],[Total_Followers]]</f>
        <v>1.1054990973447738E-2</v>
      </c>
    </row>
    <row r="109" spans="1:8" ht="15" customHeight="1" thickBot="1" x14ac:dyDescent="0.35">
      <c r="A109" s="2">
        <v>45628</v>
      </c>
      <c r="B109" s="1" t="s">
        <v>6</v>
      </c>
      <c r="C109" s="3">
        <v>4493</v>
      </c>
      <c r="D109" s="3">
        <v>564</v>
      </c>
      <c r="E109" s="3">
        <v>694115</v>
      </c>
      <c r="F109" s="17">
        <v>16.62548713</v>
      </c>
      <c r="G109" s="18">
        <v>45525</v>
      </c>
      <c r="H109" s="38">
        <f>(Table3[[#This Row],[New_Followers]]-Table3[[#This Row],[Unfollows]])/Table3[[#This Row],[Total_Followers]]</f>
        <v>5.660445315257558E-3</v>
      </c>
    </row>
    <row r="110" spans="1:8" ht="15" customHeight="1" thickBot="1" x14ac:dyDescent="0.35">
      <c r="A110" s="2">
        <v>45635</v>
      </c>
      <c r="B110" s="1" t="s">
        <v>13</v>
      </c>
      <c r="C110" s="3">
        <v>7164</v>
      </c>
      <c r="D110" s="3">
        <v>522</v>
      </c>
      <c r="E110" s="3">
        <v>700757</v>
      </c>
      <c r="F110" s="17">
        <v>13.44916997</v>
      </c>
      <c r="G110" s="18">
        <v>34570</v>
      </c>
      <c r="H110" s="38">
        <f>(Table3[[#This Row],[New_Followers]]-Table3[[#This Row],[Unfollows]])/Table3[[#This Row],[Total_Followers]]</f>
        <v>9.4783213011072308E-3</v>
      </c>
    </row>
    <row r="111" spans="1:8" ht="15" customHeight="1" thickBot="1" x14ac:dyDescent="0.35">
      <c r="A111" s="2">
        <v>45635</v>
      </c>
      <c r="B111" s="1" t="s">
        <v>22</v>
      </c>
      <c r="C111" s="3">
        <v>3672</v>
      </c>
      <c r="D111" s="3">
        <v>211</v>
      </c>
      <c r="E111" s="3">
        <v>704218</v>
      </c>
      <c r="F111" s="17">
        <v>12.35057894</v>
      </c>
      <c r="G111" s="18">
        <v>28284</v>
      </c>
      <c r="H111" s="38">
        <f>(Table3[[#This Row],[New_Followers]]-Table3[[#This Row],[Unfollows]])/Table3[[#This Row],[Total_Followers]]</f>
        <v>4.9146713091684675E-3</v>
      </c>
    </row>
    <row r="112" spans="1:8" ht="15" customHeight="1" thickBot="1" x14ac:dyDescent="0.35">
      <c r="A112" s="2">
        <v>45635</v>
      </c>
      <c r="B112" s="1" t="s">
        <v>6</v>
      </c>
      <c r="C112" s="3">
        <v>5200</v>
      </c>
      <c r="D112" s="3">
        <v>410</v>
      </c>
      <c r="E112" s="3">
        <v>709008</v>
      </c>
      <c r="F112" s="17">
        <v>12.91339449</v>
      </c>
      <c r="G112" s="18">
        <v>28994</v>
      </c>
      <c r="H112" s="38">
        <f>(Table3[[#This Row],[New_Followers]]-Table3[[#This Row],[Unfollows]])/Table3[[#This Row],[Total_Followers]]</f>
        <v>6.7559181278631555E-3</v>
      </c>
    </row>
    <row r="113" spans="1:8" ht="15" customHeight="1" thickBot="1" x14ac:dyDescent="0.35">
      <c r="A113" s="2">
        <v>45635</v>
      </c>
      <c r="B113" s="1" t="s">
        <v>1</v>
      </c>
      <c r="C113" s="3">
        <v>1016</v>
      </c>
      <c r="D113" s="3">
        <v>67</v>
      </c>
      <c r="E113" s="3">
        <v>709957</v>
      </c>
      <c r="F113" s="17">
        <v>20.774215900000002</v>
      </c>
      <c r="G113" s="18">
        <v>33284</v>
      </c>
      <c r="H113" s="38">
        <f>(Table3[[#This Row],[New_Followers]]-Table3[[#This Row],[Unfollows]])/Table3[[#This Row],[Total_Followers]]</f>
        <v>1.3367006734210664E-3</v>
      </c>
    </row>
    <row r="114" spans="1:8" ht="15" customHeight="1" thickBot="1" x14ac:dyDescent="0.35">
      <c r="A114" s="2">
        <v>45642</v>
      </c>
      <c r="B114" s="1" t="s">
        <v>22</v>
      </c>
      <c r="C114" s="3">
        <v>4191</v>
      </c>
      <c r="D114" s="3">
        <v>599</v>
      </c>
      <c r="E114" s="3">
        <v>713549</v>
      </c>
      <c r="F114" s="17">
        <v>11.564167279999999</v>
      </c>
      <c r="G114" s="18">
        <v>27833</v>
      </c>
      <c r="H114" s="38">
        <f>(Table3[[#This Row],[New_Followers]]-Table3[[#This Row],[Unfollows]])/Table3[[#This Row],[Total_Followers]]</f>
        <v>5.033992059410076E-3</v>
      </c>
    </row>
    <row r="115" spans="1:8" ht="15" customHeight="1" thickBot="1" x14ac:dyDescent="0.35">
      <c r="A115" s="2">
        <v>45642</v>
      </c>
      <c r="B115" s="1" t="s">
        <v>22</v>
      </c>
      <c r="C115" s="3">
        <v>1392</v>
      </c>
      <c r="D115" s="3">
        <v>182</v>
      </c>
      <c r="E115" s="3">
        <v>714759</v>
      </c>
      <c r="F115" s="17">
        <v>5.9603306849999997</v>
      </c>
      <c r="G115" s="18">
        <v>35122</v>
      </c>
      <c r="H115" s="38">
        <f>(Table3[[#This Row],[New_Followers]]-Table3[[#This Row],[Unfollows]])/Table3[[#This Row],[Total_Followers]]</f>
        <v>1.6928782988391892E-3</v>
      </c>
    </row>
    <row r="116" spans="1:8" ht="15" customHeight="1" thickBot="1" x14ac:dyDescent="0.35">
      <c r="A116" s="2">
        <v>45642</v>
      </c>
      <c r="B116" s="1" t="s">
        <v>1</v>
      </c>
      <c r="C116" s="3">
        <v>9616</v>
      </c>
      <c r="D116" s="3">
        <v>1089</v>
      </c>
      <c r="E116" s="3">
        <v>723286</v>
      </c>
      <c r="F116" s="17">
        <v>19.258633509999999</v>
      </c>
      <c r="G116" s="18">
        <v>15017</v>
      </c>
      <c r="H116" s="38">
        <f>(Table3[[#This Row],[New_Followers]]-Table3[[#This Row],[Unfollows]])/Table3[[#This Row],[Total_Followers]]</f>
        <v>1.178925072516266E-2</v>
      </c>
    </row>
    <row r="117" spans="1:8" ht="15" customHeight="1" thickBot="1" x14ac:dyDescent="0.35">
      <c r="A117" s="2">
        <v>45642</v>
      </c>
      <c r="B117" s="1" t="s">
        <v>13</v>
      </c>
      <c r="C117" s="3">
        <v>7272</v>
      </c>
      <c r="D117" s="3">
        <v>997</v>
      </c>
      <c r="E117" s="3">
        <v>729561</v>
      </c>
      <c r="F117" s="17">
        <v>13.428486449999999</v>
      </c>
      <c r="G117" s="18">
        <v>26370</v>
      </c>
      <c r="H117" s="38">
        <f>(Table3[[#This Row],[New_Followers]]-Table3[[#This Row],[Unfollows]])/Table3[[#This Row],[Total_Followers]]</f>
        <v>8.6010628309353167E-3</v>
      </c>
    </row>
    <row r="118" spans="1:8" ht="15" customHeight="1" thickBot="1" x14ac:dyDescent="0.35">
      <c r="A118" s="2">
        <v>45649</v>
      </c>
      <c r="B118" s="1" t="s">
        <v>1</v>
      </c>
      <c r="C118" s="3">
        <v>1571</v>
      </c>
      <c r="D118" s="3">
        <v>204</v>
      </c>
      <c r="E118" s="3">
        <v>730928</v>
      </c>
      <c r="F118" s="17">
        <v>19.449384890000001</v>
      </c>
      <c r="G118" s="18">
        <v>39252</v>
      </c>
      <c r="H118" s="38">
        <f>(Table3[[#This Row],[New_Followers]]-Table3[[#This Row],[Unfollows]])/Table3[[#This Row],[Total_Followers]]</f>
        <v>1.8702252479040344E-3</v>
      </c>
    </row>
    <row r="119" spans="1:8" ht="15" customHeight="1" thickBot="1" x14ac:dyDescent="0.35">
      <c r="A119" s="2">
        <v>45649</v>
      </c>
      <c r="B119" s="1" t="s">
        <v>22</v>
      </c>
      <c r="C119" s="3">
        <v>4631</v>
      </c>
      <c r="D119" s="3">
        <v>317</v>
      </c>
      <c r="E119" s="3">
        <v>735242</v>
      </c>
      <c r="F119" s="17">
        <v>1.381177898</v>
      </c>
      <c r="G119" s="18">
        <v>17999</v>
      </c>
      <c r="H119" s="38">
        <f>(Table3[[#This Row],[New_Followers]]-Table3[[#This Row],[Unfollows]])/Table3[[#This Row],[Total_Followers]]</f>
        <v>5.8674558852731479E-3</v>
      </c>
    </row>
    <row r="120" spans="1:8" ht="15" customHeight="1" thickBot="1" x14ac:dyDescent="0.35">
      <c r="A120" s="2">
        <v>45649</v>
      </c>
      <c r="B120" s="1" t="s">
        <v>1</v>
      </c>
      <c r="C120" s="3">
        <v>7172</v>
      </c>
      <c r="D120" s="3">
        <v>998</v>
      </c>
      <c r="E120" s="3">
        <v>741416</v>
      </c>
      <c r="F120" s="17">
        <v>18.066780319999999</v>
      </c>
      <c r="G120" s="18">
        <v>32436</v>
      </c>
      <c r="H120" s="38">
        <f>(Table3[[#This Row],[New_Followers]]-Table3[[#This Row],[Unfollows]])/Table3[[#This Row],[Total_Followers]]</f>
        <v>8.32730882527488E-3</v>
      </c>
    </row>
    <row r="121" spans="1:8" ht="15" customHeight="1" thickBot="1" x14ac:dyDescent="0.35">
      <c r="A121" s="2">
        <v>45649</v>
      </c>
      <c r="B121" s="1" t="s">
        <v>6</v>
      </c>
      <c r="C121" s="3">
        <v>8177</v>
      </c>
      <c r="D121" s="3">
        <v>849</v>
      </c>
      <c r="E121" s="3">
        <v>748744</v>
      </c>
      <c r="F121" s="17">
        <v>10.34986591</v>
      </c>
      <c r="G121" s="18">
        <v>52963</v>
      </c>
      <c r="H121" s="38">
        <f>(Table3[[#This Row],[New_Followers]]-Table3[[#This Row],[Unfollows]])/Table3[[#This Row],[Total_Followers]]</f>
        <v>9.7870567243276748E-3</v>
      </c>
    </row>
    <row r="122" spans="1:8" ht="15" customHeight="1" thickBot="1" x14ac:dyDescent="0.35">
      <c r="A122" s="2">
        <v>45656</v>
      </c>
      <c r="B122" s="1" t="s">
        <v>1</v>
      </c>
      <c r="C122" s="3">
        <v>9433</v>
      </c>
      <c r="D122" s="3">
        <v>1233</v>
      </c>
      <c r="E122" s="3">
        <v>756944</v>
      </c>
      <c r="F122" s="17">
        <v>11.391727789999999</v>
      </c>
      <c r="G122" s="18">
        <v>12096</v>
      </c>
      <c r="H122" s="38">
        <f>(Table3[[#This Row],[New_Followers]]-Table3[[#This Row],[Unfollows]])/Table3[[#This Row],[Total_Followers]]</f>
        <v>1.0833033883616226E-2</v>
      </c>
    </row>
    <row r="123" spans="1:8" ht="15" customHeight="1" thickBot="1" x14ac:dyDescent="0.35">
      <c r="A123" s="2">
        <v>45656</v>
      </c>
      <c r="B123" s="1" t="s">
        <v>22</v>
      </c>
      <c r="C123" s="3">
        <v>4897</v>
      </c>
      <c r="D123" s="3">
        <v>683</v>
      </c>
      <c r="E123" s="3">
        <v>761158</v>
      </c>
      <c r="F123" s="17">
        <v>15.062312950000001</v>
      </c>
      <c r="G123" s="18">
        <v>58201</v>
      </c>
      <c r="H123" s="38">
        <f>(Table3[[#This Row],[New_Followers]]-Table3[[#This Row],[Unfollows]])/Table3[[#This Row],[Total_Followers]]</f>
        <v>5.5363012672795921E-3</v>
      </c>
    </row>
    <row r="124" spans="1:8" ht="15" customHeight="1" thickBot="1" x14ac:dyDescent="0.35">
      <c r="A124" s="2">
        <v>45656</v>
      </c>
      <c r="B124" s="1" t="s">
        <v>1</v>
      </c>
      <c r="C124" s="3">
        <v>9123</v>
      </c>
      <c r="D124" s="3">
        <v>746</v>
      </c>
      <c r="E124" s="3">
        <v>769535</v>
      </c>
      <c r="F124" s="17">
        <v>6.3086149430000003</v>
      </c>
      <c r="G124" s="18">
        <v>35279</v>
      </c>
      <c r="H124" s="38">
        <f>(Table3[[#This Row],[New_Followers]]-Table3[[#This Row],[Unfollows]])/Table3[[#This Row],[Total_Followers]]</f>
        <v>1.0885794668208723E-2</v>
      </c>
    </row>
    <row r="125" spans="1:8" ht="15" customHeight="1" thickBot="1" x14ac:dyDescent="0.35">
      <c r="A125" s="2">
        <v>45656</v>
      </c>
      <c r="B125" s="1" t="s">
        <v>13</v>
      </c>
      <c r="C125" s="3">
        <v>3279</v>
      </c>
      <c r="D125" s="3">
        <v>200</v>
      </c>
      <c r="E125" s="3">
        <v>772614</v>
      </c>
      <c r="F125" s="17">
        <v>5.0212654700000003</v>
      </c>
      <c r="G125" s="18">
        <v>53363</v>
      </c>
      <c r="H125" s="38">
        <f>(Table3[[#This Row],[New_Followers]]-Table3[[#This Row],[Unfollows]])/Table3[[#This Row],[Total_Followers]]</f>
        <v>3.9851724146857288E-3</v>
      </c>
    </row>
    <row r="126" spans="1:8" ht="15" customHeight="1" thickBot="1" x14ac:dyDescent="0.35">
      <c r="A126" s="2">
        <v>45663</v>
      </c>
      <c r="B126" s="1" t="s">
        <v>1</v>
      </c>
      <c r="C126" s="3">
        <v>9980</v>
      </c>
      <c r="D126" s="3">
        <v>726</v>
      </c>
      <c r="E126" s="3">
        <v>781868</v>
      </c>
      <c r="F126" s="17">
        <v>4.0220344099999998</v>
      </c>
      <c r="G126" s="18">
        <v>58709</v>
      </c>
      <c r="H126" s="38">
        <f>(Table3[[#This Row],[New_Followers]]-Table3[[#This Row],[Unfollows]])/Table3[[#This Row],[Total_Followers]]</f>
        <v>1.1835757442432739E-2</v>
      </c>
    </row>
    <row r="127" spans="1:8" ht="15" customHeight="1" thickBot="1" x14ac:dyDescent="0.35">
      <c r="A127" s="2">
        <v>45663</v>
      </c>
      <c r="B127" s="1" t="s">
        <v>13</v>
      </c>
      <c r="C127" s="3">
        <v>8451</v>
      </c>
      <c r="D127" s="3">
        <v>783</v>
      </c>
      <c r="E127" s="3">
        <v>789536</v>
      </c>
      <c r="F127" s="17">
        <v>12.40728732</v>
      </c>
      <c r="G127" s="18">
        <v>36201</v>
      </c>
      <c r="H127" s="38">
        <f>(Table3[[#This Row],[New_Followers]]-Table3[[#This Row],[Unfollows]])/Table3[[#This Row],[Total_Followers]]</f>
        <v>9.7120333968305442E-3</v>
      </c>
    </row>
    <row r="128" spans="1:8" ht="15" customHeight="1" thickBot="1" x14ac:dyDescent="0.35">
      <c r="A128" s="2">
        <v>45663</v>
      </c>
      <c r="B128" s="1" t="s">
        <v>6</v>
      </c>
      <c r="C128" s="3">
        <v>9906</v>
      </c>
      <c r="D128" s="3">
        <v>1305</v>
      </c>
      <c r="E128" s="3">
        <v>798137</v>
      </c>
      <c r="F128" s="17">
        <v>9.1811305579999996</v>
      </c>
      <c r="G128" s="18">
        <v>29715</v>
      </c>
      <c r="H128" s="38">
        <f>(Table3[[#This Row],[New_Followers]]-Table3[[#This Row],[Unfollows]])/Table3[[#This Row],[Total_Followers]]</f>
        <v>1.0776345414383746E-2</v>
      </c>
    </row>
    <row r="129" spans="1:8" ht="15" customHeight="1" thickBot="1" x14ac:dyDescent="0.35">
      <c r="A129" s="2">
        <v>45663</v>
      </c>
      <c r="B129" s="1" t="s">
        <v>13</v>
      </c>
      <c r="C129" s="3">
        <v>1775</v>
      </c>
      <c r="D129" s="3">
        <v>241</v>
      </c>
      <c r="E129" s="3">
        <v>799671</v>
      </c>
      <c r="F129" s="17">
        <v>8.1379717409999994</v>
      </c>
      <c r="G129" s="18">
        <v>39309</v>
      </c>
      <c r="H129" s="38">
        <f>(Table3[[#This Row],[New_Followers]]-Table3[[#This Row],[Unfollows]])/Table3[[#This Row],[Total_Followers]]</f>
        <v>1.918288896308607E-3</v>
      </c>
    </row>
    <row r="130" spans="1:8" ht="15" customHeight="1" thickBot="1" x14ac:dyDescent="0.35">
      <c r="A130" s="2">
        <v>45670</v>
      </c>
      <c r="B130" s="1" t="s">
        <v>1</v>
      </c>
      <c r="C130" s="3">
        <v>7869</v>
      </c>
      <c r="D130" s="3">
        <v>398</v>
      </c>
      <c r="E130" s="3">
        <v>807142</v>
      </c>
      <c r="F130" s="17">
        <v>15.21194536</v>
      </c>
      <c r="G130" s="18">
        <v>25078</v>
      </c>
      <c r="H130" s="38">
        <f>(Table3[[#This Row],[New_Followers]]-Table3[[#This Row],[Unfollows]])/Table3[[#This Row],[Total_Followers]]</f>
        <v>9.2561160241940079E-3</v>
      </c>
    </row>
    <row r="131" spans="1:8" ht="15" customHeight="1" thickBot="1" x14ac:dyDescent="0.35">
      <c r="A131" s="2">
        <v>45670</v>
      </c>
      <c r="B131" s="1" t="s">
        <v>22</v>
      </c>
      <c r="C131" s="3">
        <v>3247</v>
      </c>
      <c r="D131" s="3">
        <v>328</v>
      </c>
      <c r="E131" s="3">
        <v>810061</v>
      </c>
      <c r="F131" s="17">
        <v>13.941172330000001</v>
      </c>
      <c r="G131" s="18">
        <v>15105</v>
      </c>
      <c r="H131" s="38">
        <f>(Table3[[#This Row],[New_Followers]]-Table3[[#This Row],[Unfollows]])/Table3[[#This Row],[Total_Followers]]</f>
        <v>3.6034323341081723E-3</v>
      </c>
    </row>
    <row r="132" spans="1:8" ht="15" customHeight="1" thickBot="1" x14ac:dyDescent="0.35">
      <c r="A132" s="2">
        <v>45670</v>
      </c>
      <c r="B132" s="1" t="s">
        <v>13</v>
      </c>
      <c r="C132" s="3">
        <v>8088</v>
      </c>
      <c r="D132" s="3">
        <v>742</v>
      </c>
      <c r="E132" s="3">
        <v>817407</v>
      </c>
      <c r="F132" s="17">
        <v>14.664542880000001</v>
      </c>
      <c r="G132" s="18">
        <v>39312</v>
      </c>
      <c r="H132" s="38">
        <f>(Table3[[#This Row],[New_Followers]]-Table3[[#This Row],[Unfollows]])/Table3[[#This Row],[Total_Followers]]</f>
        <v>8.9869550909155421E-3</v>
      </c>
    </row>
    <row r="133" spans="1:8" ht="15" customHeight="1" thickBot="1" x14ac:dyDescent="0.35">
      <c r="A133" s="2">
        <v>45670</v>
      </c>
      <c r="B133" s="1" t="s">
        <v>6</v>
      </c>
      <c r="C133" s="3">
        <v>1078</v>
      </c>
      <c r="D133" s="3">
        <v>77</v>
      </c>
      <c r="E133" s="3">
        <v>818408</v>
      </c>
      <c r="F133" s="17">
        <v>18.236747439999998</v>
      </c>
      <c r="G133" s="18">
        <v>12839</v>
      </c>
      <c r="H133" s="38">
        <f>(Table3[[#This Row],[New_Followers]]-Table3[[#This Row],[Unfollows]])/Table3[[#This Row],[Total_Followers]]</f>
        <v>1.2231063234963489E-3</v>
      </c>
    </row>
    <row r="134" spans="1:8" ht="15" customHeight="1" thickBot="1" x14ac:dyDescent="0.35">
      <c r="A134" s="2">
        <v>45677</v>
      </c>
      <c r="B134" s="1" t="s">
        <v>13</v>
      </c>
      <c r="C134" s="3">
        <v>9080</v>
      </c>
      <c r="D134" s="3">
        <v>562</v>
      </c>
      <c r="E134" s="3">
        <v>826926</v>
      </c>
      <c r="F134" s="17">
        <v>7.1083748729999998</v>
      </c>
      <c r="G134" s="18">
        <v>13384</v>
      </c>
      <c r="H134" s="38">
        <f>(Table3[[#This Row],[New_Followers]]-Table3[[#This Row],[Unfollows]])/Table3[[#This Row],[Total_Followers]]</f>
        <v>1.0300800797169276E-2</v>
      </c>
    </row>
    <row r="135" spans="1:8" ht="15" customHeight="1" thickBot="1" x14ac:dyDescent="0.35">
      <c r="A135" s="2">
        <v>45677</v>
      </c>
      <c r="B135" s="1" t="s">
        <v>13</v>
      </c>
      <c r="C135" s="3">
        <v>8099</v>
      </c>
      <c r="D135" s="3">
        <v>678</v>
      </c>
      <c r="E135" s="3">
        <v>834347</v>
      </c>
      <c r="F135" s="17">
        <v>7.6464588469999999</v>
      </c>
      <c r="G135" s="18">
        <v>53619</v>
      </c>
      <c r="H135" s="38">
        <f>(Table3[[#This Row],[New_Followers]]-Table3[[#This Row],[Unfollows]])/Table3[[#This Row],[Total_Followers]]</f>
        <v>8.8943808751035247E-3</v>
      </c>
    </row>
    <row r="136" spans="1:8" ht="15" customHeight="1" thickBot="1" x14ac:dyDescent="0.35">
      <c r="A136" s="2">
        <v>45677</v>
      </c>
      <c r="B136" s="1" t="s">
        <v>13</v>
      </c>
      <c r="C136" s="3">
        <v>4926</v>
      </c>
      <c r="D136" s="3">
        <v>710</v>
      </c>
      <c r="E136" s="3">
        <v>838563</v>
      </c>
      <c r="F136" s="17">
        <v>12.962174579999999</v>
      </c>
      <c r="G136" s="18">
        <v>52821</v>
      </c>
      <c r="H136" s="38">
        <f>(Table3[[#This Row],[New_Followers]]-Table3[[#This Row],[Unfollows]])/Table3[[#This Row],[Total_Followers]]</f>
        <v>5.0276484891415433E-3</v>
      </c>
    </row>
    <row r="137" spans="1:8" ht="15" customHeight="1" thickBot="1" x14ac:dyDescent="0.35">
      <c r="A137" s="2">
        <v>45677</v>
      </c>
      <c r="B137" s="1" t="s">
        <v>6</v>
      </c>
      <c r="C137" s="3">
        <v>8340</v>
      </c>
      <c r="D137" s="3">
        <v>686</v>
      </c>
      <c r="E137" s="3">
        <v>846217</v>
      </c>
      <c r="F137" s="17">
        <v>7.201344336</v>
      </c>
      <c r="G137" s="18">
        <v>23493</v>
      </c>
      <c r="H137" s="38">
        <f>(Table3[[#This Row],[New_Followers]]-Table3[[#This Row],[Unfollows]])/Table3[[#This Row],[Total_Followers]]</f>
        <v>9.0449612806171465E-3</v>
      </c>
    </row>
    <row r="138" spans="1:8" ht="15" customHeight="1" thickBot="1" x14ac:dyDescent="0.35">
      <c r="A138" s="2">
        <v>45684</v>
      </c>
      <c r="B138" s="1" t="s">
        <v>1</v>
      </c>
      <c r="C138" s="3">
        <v>8083</v>
      </c>
      <c r="D138" s="3">
        <v>823</v>
      </c>
      <c r="E138" s="3">
        <v>853477</v>
      </c>
      <c r="F138" s="17">
        <v>4.6300017459999996</v>
      </c>
      <c r="G138" s="18">
        <v>27069</v>
      </c>
      <c r="H138" s="38">
        <f>(Table3[[#This Row],[New_Followers]]-Table3[[#This Row],[Unfollows]])/Table3[[#This Row],[Total_Followers]]</f>
        <v>8.5063803711172073E-3</v>
      </c>
    </row>
    <row r="139" spans="1:8" ht="15" customHeight="1" thickBot="1" x14ac:dyDescent="0.35">
      <c r="A139" s="2">
        <v>45684</v>
      </c>
      <c r="B139" s="1" t="s">
        <v>13</v>
      </c>
      <c r="C139" s="3">
        <v>7230</v>
      </c>
      <c r="D139" s="3">
        <v>869</v>
      </c>
      <c r="E139" s="3">
        <v>859838</v>
      </c>
      <c r="F139" s="17">
        <v>7.0117859410000003</v>
      </c>
      <c r="G139" s="18">
        <v>56907</v>
      </c>
      <c r="H139" s="38">
        <f>(Table3[[#This Row],[New_Followers]]-Table3[[#This Row],[Unfollows]])/Table3[[#This Row],[Total_Followers]]</f>
        <v>7.397905186791E-3</v>
      </c>
    </row>
    <row r="140" spans="1:8" ht="15" customHeight="1" thickBot="1" x14ac:dyDescent="0.35">
      <c r="A140" s="2">
        <v>45684</v>
      </c>
      <c r="B140" s="1" t="s">
        <v>13</v>
      </c>
      <c r="C140" s="3">
        <v>5940</v>
      </c>
      <c r="D140" s="3">
        <v>512</v>
      </c>
      <c r="E140" s="3">
        <v>865266</v>
      </c>
      <c r="F140" s="17">
        <v>15.797223049999999</v>
      </c>
      <c r="G140" s="18">
        <v>17531</v>
      </c>
      <c r="H140" s="38">
        <f>(Table3[[#This Row],[New_Followers]]-Table3[[#This Row],[Unfollows]])/Table3[[#This Row],[Total_Followers]]</f>
        <v>6.2732154042803023E-3</v>
      </c>
    </row>
    <row r="141" spans="1:8" ht="15" customHeight="1" thickBot="1" x14ac:dyDescent="0.35">
      <c r="A141" s="2">
        <v>45684</v>
      </c>
      <c r="B141" s="1" t="s">
        <v>22</v>
      </c>
      <c r="C141" s="3">
        <v>4271</v>
      </c>
      <c r="D141" s="3">
        <v>628</v>
      </c>
      <c r="E141" s="3">
        <v>868909</v>
      </c>
      <c r="F141" s="17">
        <v>11.124410040000001</v>
      </c>
      <c r="G141" s="18">
        <v>47051</v>
      </c>
      <c r="H141" s="38">
        <f>(Table3[[#This Row],[New_Followers]]-Table3[[#This Row],[Unfollows]])/Table3[[#This Row],[Total_Followers]]</f>
        <v>4.1926139561219876E-3</v>
      </c>
    </row>
    <row r="142" spans="1:8" ht="15" customHeight="1" thickBot="1" x14ac:dyDescent="0.35">
      <c r="A142" s="2">
        <v>45691</v>
      </c>
      <c r="B142" s="1" t="s">
        <v>6</v>
      </c>
      <c r="C142" s="3">
        <v>4456</v>
      </c>
      <c r="D142" s="3">
        <v>651</v>
      </c>
      <c r="E142" s="3">
        <v>872714</v>
      </c>
      <c r="F142" s="17">
        <v>9.5052903929999992</v>
      </c>
      <c r="G142" s="18">
        <v>17736</v>
      </c>
      <c r="H142" s="38">
        <f>(Table3[[#This Row],[New_Followers]]-Table3[[#This Row],[Unfollows]])/Table3[[#This Row],[Total_Followers]]</f>
        <v>4.3599621410908961E-3</v>
      </c>
    </row>
    <row r="143" spans="1:8" ht="15" customHeight="1" thickBot="1" x14ac:dyDescent="0.35">
      <c r="A143" s="2">
        <v>45691</v>
      </c>
      <c r="B143" s="1" t="s">
        <v>13</v>
      </c>
      <c r="C143" s="3">
        <v>8788</v>
      </c>
      <c r="D143" s="3">
        <v>660</v>
      </c>
      <c r="E143" s="3">
        <v>880842</v>
      </c>
      <c r="F143" s="17">
        <v>3.7175793160000001</v>
      </c>
      <c r="G143" s="18">
        <v>17710</v>
      </c>
      <c r="H143" s="38">
        <f>(Table3[[#This Row],[New_Followers]]-Table3[[#This Row],[Unfollows]])/Table3[[#This Row],[Total_Followers]]</f>
        <v>9.2275345635199051E-3</v>
      </c>
    </row>
    <row r="144" spans="1:8" ht="15" customHeight="1" thickBot="1" x14ac:dyDescent="0.35">
      <c r="A144" s="2">
        <v>45691</v>
      </c>
      <c r="B144" s="1" t="s">
        <v>6</v>
      </c>
      <c r="C144" s="3">
        <v>9599</v>
      </c>
      <c r="D144" s="3">
        <v>957</v>
      </c>
      <c r="E144" s="3">
        <v>889484</v>
      </c>
      <c r="F144" s="17">
        <v>8.7680048209999999</v>
      </c>
      <c r="G144" s="18">
        <v>11619</v>
      </c>
      <c r="H144" s="38">
        <f>(Table3[[#This Row],[New_Followers]]-Table3[[#This Row],[Unfollows]])/Table3[[#This Row],[Total_Followers]]</f>
        <v>9.7157453085159485E-3</v>
      </c>
    </row>
    <row r="145" spans="1:8" ht="15" customHeight="1" thickBot="1" x14ac:dyDescent="0.35">
      <c r="A145" s="2">
        <v>45691</v>
      </c>
      <c r="B145" s="1" t="s">
        <v>13</v>
      </c>
      <c r="C145" s="3">
        <v>8650</v>
      </c>
      <c r="D145" s="3">
        <v>692</v>
      </c>
      <c r="E145" s="3">
        <v>897442</v>
      </c>
      <c r="F145" s="17">
        <v>7.6673478619999997</v>
      </c>
      <c r="G145" s="18">
        <v>23975</v>
      </c>
      <c r="H145" s="38">
        <f>(Table3[[#This Row],[New_Followers]]-Table3[[#This Row],[Unfollows]])/Table3[[#This Row],[Total_Followers]]</f>
        <v>8.8674254157928862E-3</v>
      </c>
    </row>
    <row r="146" spans="1:8" ht="15" customHeight="1" thickBot="1" x14ac:dyDescent="0.35">
      <c r="A146" s="2">
        <v>45698</v>
      </c>
      <c r="B146" s="1" t="s">
        <v>1</v>
      </c>
      <c r="C146" s="3">
        <v>3711</v>
      </c>
      <c r="D146" s="3">
        <v>291</v>
      </c>
      <c r="E146" s="3">
        <v>900862</v>
      </c>
      <c r="F146" s="17">
        <v>14.24879726</v>
      </c>
      <c r="G146" s="18">
        <v>55603</v>
      </c>
      <c r="H146" s="38">
        <f>(Table3[[#This Row],[New_Followers]]-Table3[[#This Row],[Unfollows]])/Table3[[#This Row],[Total_Followers]]</f>
        <v>3.7963639269943676E-3</v>
      </c>
    </row>
    <row r="147" spans="1:8" ht="15" customHeight="1" thickBot="1" x14ac:dyDescent="0.35">
      <c r="A147" s="2">
        <v>45698</v>
      </c>
      <c r="B147" s="1" t="s">
        <v>1</v>
      </c>
      <c r="C147" s="3">
        <v>2668</v>
      </c>
      <c r="D147" s="3">
        <v>143</v>
      </c>
      <c r="E147" s="3">
        <v>903387</v>
      </c>
      <c r="F147" s="17">
        <v>15.90337253</v>
      </c>
      <c r="G147" s="18">
        <v>33252</v>
      </c>
      <c r="H147" s="38">
        <f>(Table3[[#This Row],[New_Followers]]-Table3[[#This Row],[Unfollows]])/Table3[[#This Row],[Total_Followers]]</f>
        <v>2.795036900021807E-3</v>
      </c>
    </row>
    <row r="148" spans="1:8" ht="15" customHeight="1" thickBot="1" x14ac:dyDescent="0.35">
      <c r="A148" s="2">
        <v>45698</v>
      </c>
      <c r="B148" s="1" t="s">
        <v>13</v>
      </c>
      <c r="C148" s="3">
        <v>1147</v>
      </c>
      <c r="D148" s="3">
        <v>127</v>
      </c>
      <c r="E148" s="3">
        <v>904407</v>
      </c>
      <c r="F148" s="17">
        <v>1.399701683</v>
      </c>
      <c r="G148" s="18">
        <v>25261</v>
      </c>
      <c r="H148" s="38">
        <f>(Table3[[#This Row],[New_Followers]]-Table3[[#This Row],[Unfollows]])/Table3[[#This Row],[Total_Followers]]</f>
        <v>1.1278108196862695E-3</v>
      </c>
    </row>
    <row r="149" spans="1:8" ht="15" customHeight="1" thickBot="1" x14ac:dyDescent="0.35">
      <c r="A149" s="2">
        <v>45698</v>
      </c>
      <c r="B149" s="1" t="s">
        <v>1</v>
      </c>
      <c r="C149" s="3">
        <v>7420</v>
      </c>
      <c r="D149" s="3">
        <v>743</v>
      </c>
      <c r="E149" s="3">
        <v>911084</v>
      </c>
      <c r="F149" s="17">
        <v>10.59353473</v>
      </c>
      <c r="G149" s="18">
        <v>11431</v>
      </c>
      <c r="H149" s="38">
        <f>(Table3[[#This Row],[New_Followers]]-Table3[[#This Row],[Unfollows]])/Table3[[#This Row],[Total_Followers]]</f>
        <v>7.3286327056561193E-3</v>
      </c>
    </row>
    <row r="150" spans="1:8" ht="15" customHeight="1" thickBot="1" x14ac:dyDescent="0.35">
      <c r="A150" s="2">
        <v>45705</v>
      </c>
      <c r="B150" s="1" t="s">
        <v>13</v>
      </c>
      <c r="C150" s="3">
        <v>1365</v>
      </c>
      <c r="D150" s="3">
        <v>75</v>
      </c>
      <c r="E150" s="3">
        <v>912374</v>
      </c>
      <c r="F150" s="17">
        <v>9.2688963080000004</v>
      </c>
      <c r="G150" s="18">
        <v>19067</v>
      </c>
      <c r="H150" s="38">
        <f>(Table3[[#This Row],[New_Followers]]-Table3[[#This Row],[Unfollows]])/Table3[[#This Row],[Total_Followers]]</f>
        <v>1.4138938637006315E-3</v>
      </c>
    </row>
    <row r="151" spans="1:8" ht="15" customHeight="1" thickBot="1" x14ac:dyDescent="0.35">
      <c r="A151" s="2">
        <v>45705</v>
      </c>
      <c r="B151" s="1" t="s">
        <v>1</v>
      </c>
      <c r="C151" s="3">
        <v>5531</v>
      </c>
      <c r="D151" s="3">
        <v>430</v>
      </c>
      <c r="E151" s="3">
        <v>917475</v>
      </c>
      <c r="F151" s="17">
        <v>2.7289026949999999</v>
      </c>
      <c r="G151" s="18">
        <v>47481</v>
      </c>
      <c r="H151" s="38">
        <f>(Table3[[#This Row],[New_Followers]]-Table3[[#This Row],[Unfollows]])/Table3[[#This Row],[Total_Followers]]</f>
        <v>5.5598245183792472E-3</v>
      </c>
    </row>
    <row r="152" spans="1:8" ht="15" customHeight="1" thickBot="1" x14ac:dyDescent="0.35">
      <c r="A152" s="2">
        <v>45705</v>
      </c>
      <c r="B152" s="1" t="s">
        <v>22</v>
      </c>
      <c r="C152" s="3">
        <v>6330</v>
      </c>
      <c r="D152" s="3">
        <v>891</v>
      </c>
      <c r="E152" s="3">
        <v>922914</v>
      </c>
      <c r="F152" s="17">
        <v>14.789893749999999</v>
      </c>
      <c r="G152" s="18">
        <v>37037</v>
      </c>
      <c r="H152" s="38">
        <f>(Table3[[#This Row],[New_Followers]]-Table3[[#This Row],[Unfollows]])/Table3[[#This Row],[Total_Followers]]</f>
        <v>5.8932901657142486E-3</v>
      </c>
    </row>
    <row r="153" spans="1:8" ht="15" customHeight="1" thickBot="1" x14ac:dyDescent="0.35">
      <c r="A153" s="2">
        <v>45705</v>
      </c>
      <c r="B153" s="1" t="s">
        <v>22</v>
      </c>
      <c r="C153" s="3">
        <v>6510</v>
      </c>
      <c r="D153" s="3">
        <v>481</v>
      </c>
      <c r="E153" s="3">
        <v>928943</v>
      </c>
      <c r="F153" s="17">
        <v>2.3800168579999998</v>
      </c>
      <c r="G153" s="18">
        <v>19557</v>
      </c>
      <c r="H153" s="38">
        <f>(Table3[[#This Row],[New_Followers]]-Table3[[#This Row],[Unfollows]])/Table3[[#This Row],[Total_Followers]]</f>
        <v>6.4901721634158397E-3</v>
      </c>
    </row>
    <row r="154" spans="1:8" ht="15" customHeight="1" thickBot="1" x14ac:dyDescent="0.35">
      <c r="A154" s="2">
        <v>45712</v>
      </c>
      <c r="B154" s="1" t="s">
        <v>22</v>
      </c>
      <c r="C154" s="3">
        <v>9754</v>
      </c>
      <c r="D154" s="3">
        <v>629</v>
      </c>
      <c r="E154" s="3">
        <v>938068</v>
      </c>
      <c r="F154" s="17">
        <v>3.4123325809999998</v>
      </c>
      <c r="G154" s="18">
        <v>19435</v>
      </c>
      <c r="H154" s="38">
        <f>(Table3[[#This Row],[New_Followers]]-Table3[[#This Row],[Unfollows]])/Table3[[#This Row],[Total_Followers]]</f>
        <v>9.7274398018054129E-3</v>
      </c>
    </row>
    <row r="155" spans="1:8" ht="15" customHeight="1" thickBot="1" x14ac:dyDescent="0.35">
      <c r="A155" s="2">
        <v>45712</v>
      </c>
      <c r="B155" s="1" t="s">
        <v>6</v>
      </c>
      <c r="C155" s="3">
        <v>9964</v>
      </c>
      <c r="D155" s="3">
        <v>985</v>
      </c>
      <c r="E155" s="3">
        <v>947047</v>
      </c>
      <c r="F155" s="17">
        <v>1.9837452630000001</v>
      </c>
      <c r="G155" s="18">
        <v>47766</v>
      </c>
      <c r="H155" s="38">
        <f>(Table3[[#This Row],[New_Followers]]-Table3[[#This Row],[Unfollows]])/Table3[[#This Row],[Total_Followers]]</f>
        <v>9.4810500429228957E-3</v>
      </c>
    </row>
    <row r="156" spans="1:8" ht="15" customHeight="1" thickBot="1" x14ac:dyDescent="0.35">
      <c r="A156" s="2">
        <v>45712</v>
      </c>
      <c r="B156" s="1" t="s">
        <v>6</v>
      </c>
      <c r="C156" s="3">
        <v>7493</v>
      </c>
      <c r="D156" s="3">
        <v>1113</v>
      </c>
      <c r="E156" s="3">
        <v>953427</v>
      </c>
      <c r="F156" s="17">
        <v>15.6848925</v>
      </c>
      <c r="G156" s="18">
        <v>10162</v>
      </c>
      <c r="H156" s="38">
        <f>(Table3[[#This Row],[New_Followers]]-Table3[[#This Row],[Unfollows]])/Table3[[#This Row],[Total_Followers]]</f>
        <v>6.6916502259743013E-3</v>
      </c>
    </row>
    <row r="157" spans="1:8" ht="15" customHeight="1" thickBot="1" x14ac:dyDescent="0.35">
      <c r="A157" s="2">
        <v>45712</v>
      </c>
      <c r="B157" s="1" t="s">
        <v>22</v>
      </c>
      <c r="C157" s="3">
        <v>6439</v>
      </c>
      <c r="D157" s="3">
        <v>477</v>
      </c>
      <c r="E157" s="3">
        <v>959389</v>
      </c>
      <c r="F157" s="17">
        <v>7.4744446729999998</v>
      </c>
      <c r="G157" s="18">
        <v>44742</v>
      </c>
      <c r="H157" s="38">
        <f>(Table3[[#This Row],[New_Followers]]-Table3[[#This Row],[Unfollows]])/Table3[[#This Row],[Total_Followers]]</f>
        <v>6.2143718554204808E-3</v>
      </c>
    </row>
    <row r="158" spans="1:8" ht="15" customHeight="1" thickBot="1" x14ac:dyDescent="0.35">
      <c r="A158" s="2">
        <v>45719</v>
      </c>
      <c r="B158" s="1" t="s">
        <v>6</v>
      </c>
      <c r="C158" s="3">
        <v>7511</v>
      </c>
      <c r="D158" s="3">
        <v>880</v>
      </c>
      <c r="E158" s="3">
        <v>966020</v>
      </c>
      <c r="F158" s="17">
        <v>4.6083932010000002</v>
      </c>
      <c r="G158" s="18">
        <v>29675</v>
      </c>
      <c r="H158" s="38">
        <f>(Table3[[#This Row],[New_Followers]]-Table3[[#This Row],[Unfollows]])/Table3[[#This Row],[Total_Followers]]</f>
        <v>6.8642471170369144E-3</v>
      </c>
    </row>
    <row r="159" spans="1:8" ht="15" customHeight="1" thickBot="1" x14ac:dyDescent="0.35">
      <c r="A159" s="2">
        <v>45719</v>
      </c>
      <c r="B159" s="1" t="s">
        <v>1</v>
      </c>
      <c r="C159" s="3">
        <v>8504</v>
      </c>
      <c r="D159" s="3">
        <v>1072</v>
      </c>
      <c r="E159" s="3">
        <v>973452</v>
      </c>
      <c r="F159" s="17">
        <v>6.5651927370000003</v>
      </c>
      <c r="G159" s="18">
        <v>18461</v>
      </c>
      <c r="H159" s="38">
        <f>(Table3[[#This Row],[New_Followers]]-Table3[[#This Row],[Unfollows]])/Table3[[#This Row],[Total_Followers]]</f>
        <v>7.6346856342171983E-3</v>
      </c>
    </row>
    <row r="160" spans="1:8" ht="15" customHeight="1" thickBot="1" x14ac:dyDescent="0.35">
      <c r="A160" s="2">
        <v>45719</v>
      </c>
      <c r="B160" s="1" t="s">
        <v>13</v>
      </c>
      <c r="C160" s="3">
        <v>2246</v>
      </c>
      <c r="D160" s="3">
        <v>165</v>
      </c>
      <c r="E160" s="3">
        <v>975533</v>
      </c>
      <c r="F160" s="17">
        <v>2.9062061460000002</v>
      </c>
      <c r="G160" s="18">
        <v>27015</v>
      </c>
      <c r="H160" s="38">
        <f>(Table3[[#This Row],[New_Followers]]-Table3[[#This Row],[Unfollows]])/Table3[[#This Row],[Total_Followers]]</f>
        <v>2.1331928289458173E-3</v>
      </c>
    </row>
    <row r="161" spans="1:8" ht="15" customHeight="1" thickBot="1" x14ac:dyDescent="0.35">
      <c r="A161" s="2">
        <v>45719</v>
      </c>
      <c r="B161" s="1" t="s">
        <v>13</v>
      </c>
      <c r="C161" s="3">
        <v>4839</v>
      </c>
      <c r="D161" s="3">
        <v>594</v>
      </c>
      <c r="E161" s="3">
        <v>979778</v>
      </c>
      <c r="F161" s="17">
        <v>2.5803804540000002</v>
      </c>
      <c r="G161" s="18">
        <v>42591</v>
      </c>
      <c r="H161" s="38">
        <f>(Table3[[#This Row],[New_Followers]]-Table3[[#This Row],[Unfollows]])/Table3[[#This Row],[Total_Followers]]</f>
        <v>4.3326141227910814E-3</v>
      </c>
    </row>
    <row r="162" spans="1:8" ht="15" customHeight="1" thickBot="1" x14ac:dyDescent="0.35">
      <c r="A162" s="2">
        <v>45726</v>
      </c>
      <c r="B162" s="1" t="s">
        <v>13</v>
      </c>
      <c r="C162" s="3">
        <v>9551</v>
      </c>
      <c r="D162" s="3">
        <v>828</v>
      </c>
      <c r="E162" s="3">
        <v>988501</v>
      </c>
      <c r="F162" s="17">
        <v>1.5250363929999999</v>
      </c>
      <c r="G162" s="18">
        <v>38047</v>
      </c>
      <c r="H162" s="38">
        <f>(Table3[[#This Row],[New_Followers]]-Table3[[#This Row],[Unfollows]])/Table3[[#This Row],[Total_Followers]]</f>
        <v>8.8244726105487E-3</v>
      </c>
    </row>
    <row r="163" spans="1:8" ht="15" customHeight="1" thickBot="1" x14ac:dyDescent="0.35">
      <c r="A163" s="2">
        <v>45726</v>
      </c>
      <c r="B163" s="1" t="s">
        <v>22</v>
      </c>
      <c r="C163" s="3">
        <v>3376</v>
      </c>
      <c r="D163" s="3">
        <v>382</v>
      </c>
      <c r="E163" s="3">
        <v>991495</v>
      </c>
      <c r="F163" s="17">
        <v>3.869409326</v>
      </c>
      <c r="G163" s="18">
        <v>44782</v>
      </c>
      <c r="H163" s="38">
        <f>(Table3[[#This Row],[New_Followers]]-Table3[[#This Row],[Unfollows]])/Table3[[#This Row],[Total_Followers]]</f>
        <v>3.0196823988018094E-3</v>
      </c>
    </row>
    <row r="164" spans="1:8" ht="15" customHeight="1" thickBot="1" x14ac:dyDescent="0.35">
      <c r="A164" s="2">
        <v>45726</v>
      </c>
      <c r="B164" s="1" t="s">
        <v>6</v>
      </c>
      <c r="C164" s="3">
        <v>4009</v>
      </c>
      <c r="D164" s="3">
        <v>454</v>
      </c>
      <c r="E164" s="3">
        <v>995050</v>
      </c>
      <c r="F164" s="17">
        <v>2.110647706</v>
      </c>
      <c r="G164" s="18">
        <v>19833</v>
      </c>
      <c r="H164" s="38">
        <f>(Table3[[#This Row],[New_Followers]]-Table3[[#This Row],[Unfollows]])/Table3[[#This Row],[Total_Followers]]</f>
        <v>3.5726847897090599E-3</v>
      </c>
    </row>
    <row r="165" spans="1:8" ht="15" customHeight="1" thickBot="1" x14ac:dyDescent="0.35">
      <c r="A165" s="2">
        <v>45726</v>
      </c>
      <c r="B165" s="1" t="s">
        <v>1</v>
      </c>
      <c r="C165" s="3">
        <v>2827</v>
      </c>
      <c r="D165" s="3">
        <v>292</v>
      </c>
      <c r="E165" s="3">
        <v>997585</v>
      </c>
      <c r="F165" s="17">
        <v>2.4004972009999999</v>
      </c>
      <c r="G165" s="18">
        <v>17896</v>
      </c>
      <c r="H165" s="38">
        <f>(Table3[[#This Row],[New_Followers]]-Table3[[#This Row],[Unfollows]])/Table3[[#This Row],[Total_Followers]]</f>
        <v>2.5411368454818384E-3</v>
      </c>
    </row>
    <row r="166" spans="1:8" ht="15" customHeight="1" thickBot="1" x14ac:dyDescent="0.35">
      <c r="A166" s="2">
        <v>45733</v>
      </c>
      <c r="B166" s="1" t="s">
        <v>1</v>
      </c>
      <c r="C166" s="3">
        <v>7979</v>
      </c>
      <c r="D166" s="3">
        <v>470</v>
      </c>
      <c r="E166" s="3">
        <v>1005094</v>
      </c>
      <c r="F166" s="17">
        <v>10.430865170000001</v>
      </c>
      <c r="G166" s="18">
        <v>42972</v>
      </c>
      <c r="H166" s="38">
        <f>(Table3[[#This Row],[New_Followers]]-Table3[[#This Row],[Unfollows]])/Table3[[#This Row],[Total_Followers]]</f>
        <v>7.4709430162750948E-3</v>
      </c>
    </row>
    <row r="167" spans="1:8" ht="15" customHeight="1" thickBot="1" x14ac:dyDescent="0.35">
      <c r="A167" s="2">
        <v>45733</v>
      </c>
      <c r="B167" s="1" t="s">
        <v>22</v>
      </c>
      <c r="C167" s="3">
        <v>9569</v>
      </c>
      <c r="D167" s="3">
        <v>1277</v>
      </c>
      <c r="E167" s="3">
        <v>1013386</v>
      </c>
      <c r="F167" s="17">
        <v>12.455175029999999</v>
      </c>
      <c r="G167" s="18">
        <v>59733</v>
      </c>
      <c r="H167" s="38">
        <f>(Table3[[#This Row],[New_Followers]]-Table3[[#This Row],[Unfollows]])/Table3[[#This Row],[Total_Followers]]</f>
        <v>8.1824694637581338E-3</v>
      </c>
    </row>
    <row r="168" spans="1:8" ht="15" customHeight="1" thickBot="1" x14ac:dyDescent="0.35">
      <c r="A168" s="2">
        <v>45733</v>
      </c>
      <c r="B168" s="1" t="s">
        <v>1</v>
      </c>
      <c r="C168" s="3">
        <v>5285</v>
      </c>
      <c r="D168" s="3">
        <v>433</v>
      </c>
      <c r="E168" s="3">
        <v>1018238</v>
      </c>
      <c r="F168" s="17">
        <v>8.7022876769999993</v>
      </c>
      <c r="G168" s="18">
        <v>51800</v>
      </c>
      <c r="H168" s="38">
        <f>(Table3[[#This Row],[New_Followers]]-Table3[[#This Row],[Unfollows]])/Table3[[#This Row],[Total_Followers]]</f>
        <v>4.7650942117658151E-3</v>
      </c>
    </row>
    <row r="169" spans="1:8" ht="15" customHeight="1" thickBot="1" x14ac:dyDescent="0.35">
      <c r="A169" s="2">
        <v>45733</v>
      </c>
      <c r="B169" s="1" t="s">
        <v>1</v>
      </c>
      <c r="C169" s="3">
        <v>7910</v>
      </c>
      <c r="D169" s="3">
        <v>543</v>
      </c>
      <c r="E169" s="3">
        <v>1025605</v>
      </c>
      <c r="F169" s="17">
        <v>6.0590578239999999</v>
      </c>
      <c r="G169" s="18">
        <v>40508</v>
      </c>
      <c r="H169" s="38">
        <f>(Table3[[#This Row],[New_Followers]]-Table3[[#This Row],[Unfollows]])/Table3[[#This Row],[Total_Followers]]</f>
        <v>7.183077305590359E-3</v>
      </c>
    </row>
    <row r="170" spans="1:8" ht="15" customHeight="1" thickBot="1" x14ac:dyDescent="0.35">
      <c r="A170" s="2">
        <v>45740</v>
      </c>
      <c r="B170" s="1" t="s">
        <v>1</v>
      </c>
      <c r="C170" s="3">
        <v>9561</v>
      </c>
      <c r="D170" s="3">
        <v>517</v>
      </c>
      <c r="E170" s="3">
        <v>1034649</v>
      </c>
      <c r="F170" s="17">
        <v>6.4086467970000003</v>
      </c>
      <c r="G170" s="18">
        <v>15347</v>
      </c>
      <c r="H170" s="38">
        <f>(Table3[[#This Row],[New_Followers]]-Table3[[#This Row],[Unfollows]])/Table3[[#This Row],[Total_Followers]]</f>
        <v>8.741128633961856E-3</v>
      </c>
    </row>
    <row r="171" spans="1:8" ht="15" customHeight="1" thickBot="1" x14ac:dyDescent="0.35">
      <c r="A171" s="2">
        <v>45740</v>
      </c>
      <c r="B171" s="1" t="s">
        <v>1</v>
      </c>
      <c r="C171" s="3">
        <v>3196</v>
      </c>
      <c r="D171" s="3">
        <v>348</v>
      </c>
      <c r="E171" s="3">
        <v>1037497</v>
      </c>
      <c r="F171" s="17">
        <v>14.03040202</v>
      </c>
      <c r="G171" s="18">
        <v>40314</v>
      </c>
      <c r="H171" s="38">
        <f>(Table3[[#This Row],[New_Followers]]-Table3[[#This Row],[Unfollows]])/Table3[[#This Row],[Total_Followers]]</f>
        <v>2.7450681785103955E-3</v>
      </c>
    </row>
    <row r="172" spans="1:8" ht="15" customHeight="1" thickBot="1" x14ac:dyDescent="0.35">
      <c r="A172" s="2">
        <v>45740</v>
      </c>
      <c r="B172" s="1" t="s">
        <v>6</v>
      </c>
      <c r="C172" s="3">
        <v>4747</v>
      </c>
      <c r="D172" s="3">
        <v>558</v>
      </c>
      <c r="E172" s="3">
        <v>1041686</v>
      </c>
      <c r="F172" s="17">
        <v>5.768052945</v>
      </c>
      <c r="G172" s="18">
        <v>12643</v>
      </c>
      <c r="H172" s="38">
        <f>(Table3[[#This Row],[New_Followers]]-Table3[[#This Row],[Unfollows]])/Table3[[#This Row],[Total_Followers]]</f>
        <v>4.021365363458854E-3</v>
      </c>
    </row>
    <row r="173" spans="1:8" ht="15" customHeight="1" thickBot="1" x14ac:dyDescent="0.35">
      <c r="A173" s="2">
        <v>45740</v>
      </c>
      <c r="B173" s="1" t="s">
        <v>1</v>
      </c>
      <c r="C173" s="3">
        <v>9843</v>
      </c>
      <c r="D173" s="3">
        <v>508</v>
      </c>
      <c r="E173" s="3">
        <v>1051021</v>
      </c>
      <c r="F173" s="17">
        <v>4.2080986009999997</v>
      </c>
      <c r="G173" s="18">
        <v>50785</v>
      </c>
      <c r="H173" s="38">
        <f>(Table3[[#This Row],[New_Followers]]-Table3[[#This Row],[Unfollows]])/Table3[[#This Row],[Total_Followers]]</f>
        <v>8.8818396587699005E-3</v>
      </c>
    </row>
    <row r="174" spans="1:8" ht="15" customHeight="1" thickBot="1" x14ac:dyDescent="0.35">
      <c r="A174" s="2">
        <v>45747</v>
      </c>
      <c r="B174" s="1" t="s">
        <v>13</v>
      </c>
      <c r="C174" s="3">
        <v>6978</v>
      </c>
      <c r="D174" s="3">
        <v>706</v>
      </c>
      <c r="E174" s="3">
        <v>1057293</v>
      </c>
      <c r="F174" s="17">
        <v>5.057443868</v>
      </c>
      <c r="G174" s="18">
        <v>28681</v>
      </c>
      <c r="H174" s="38">
        <f>(Table3[[#This Row],[New_Followers]]-Table3[[#This Row],[Unfollows]])/Table3[[#This Row],[Total_Followers]]</f>
        <v>5.9321304501212058E-3</v>
      </c>
    </row>
    <row r="175" spans="1:8" ht="15" customHeight="1" thickBot="1" x14ac:dyDescent="0.35">
      <c r="A175" s="2">
        <v>45747</v>
      </c>
      <c r="B175" s="1" t="s">
        <v>22</v>
      </c>
      <c r="C175" s="3">
        <v>6607</v>
      </c>
      <c r="D175" s="3">
        <v>479</v>
      </c>
      <c r="E175" s="3">
        <v>1063421</v>
      </c>
      <c r="F175" s="17">
        <v>5.5892257159999996</v>
      </c>
      <c r="G175" s="18">
        <v>48328</v>
      </c>
      <c r="H175" s="38">
        <f>(Table3[[#This Row],[New_Followers]]-Table3[[#This Row],[Unfollows]])/Table3[[#This Row],[Total_Followers]]</f>
        <v>5.7625343114345116E-3</v>
      </c>
    </row>
    <row r="176" spans="1:8" ht="15" customHeight="1" thickBot="1" x14ac:dyDescent="0.35">
      <c r="A176" s="2">
        <v>45747</v>
      </c>
      <c r="B176" s="1" t="s">
        <v>6</v>
      </c>
      <c r="C176" s="3">
        <v>1769</v>
      </c>
      <c r="D176" s="3">
        <v>202</v>
      </c>
      <c r="E176" s="3">
        <v>1064988</v>
      </c>
      <c r="F176" s="17">
        <v>6.5457075570000001</v>
      </c>
      <c r="G176" s="18">
        <v>25892</v>
      </c>
      <c r="H176" s="38">
        <f>(Table3[[#This Row],[New_Followers]]-Table3[[#This Row],[Unfollows]])/Table3[[#This Row],[Total_Followers]]</f>
        <v>1.4713780812553757E-3</v>
      </c>
    </row>
    <row r="177" spans="1:8" ht="15" customHeight="1" thickBot="1" x14ac:dyDescent="0.35">
      <c r="A177" s="2">
        <v>45747</v>
      </c>
      <c r="B177" s="1" t="s">
        <v>1</v>
      </c>
      <c r="C177" s="3">
        <v>1780</v>
      </c>
      <c r="D177" s="3">
        <v>120</v>
      </c>
      <c r="E177" s="3">
        <v>1066648</v>
      </c>
      <c r="F177" s="17">
        <v>13.86474263</v>
      </c>
      <c r="G177" s="18">
        <v>57299</v>
      </c>
      <c r="H177" s="38">
        <f>(Table3[[#This Row],[New_Followers]]-Table3[[#This Row],[Unfollows]])/Table3[[#This Row],[Total_Followers]]</f>
        <v>1.55627723485161E-3</v>
      </c>
    </row>
    <row r="178" spans="1:8" ht="15" customHeight="1" thickBot="1" x14ac:dyDescent="0.35">
      <c r="A178" s="2">
        <v>45754</v>
      </c>
      <c r="B178" s="1" t="s">
        <v>6</v>
      </c>
      <c r="C178" s="3">
        <v>7303</v>
      </c>
      <c r="D178" s="3">
        <v>869</v>
      </c>
      <c r="E178" s="3">
        <v>1073082</v>
      </c>
      <c r="F178" s="17">
        <v>8.1237966900000007</v>
      </c>
      <c r="G178" s="18">
        <v>27073</v>
      </c>
      <c r="H178" s="38">
        <f>(Table3[[#This Row],[New_Followers]]-Table3[[#This Row],[Unfollows]])/Table3[[#This Row],[Total_Followers]]</f>
        <v>5.9958139266151145E-3</v>
      </c>
    </row>
    <row r="179" spans="1:8" ht="15" customHeight="1" thickBot="1" x14ac:dyDescent="0.35">
      <c r="A179" s="2">
        <v>45754</v>
      </c>
      <c r="B179" s="1" t="s">
        <v>1</v>
      </c>
      <c r="C179" s="3">
        <v>4983</v>
      </c>
      <c r="D179" s="3">
        <v>441</v>
      </c>
      <c r="E179" s="3">
        <v>1077624</v>
      </c>
      <c r="F179" s="17">
        <v>6.895447763</v>
      </c>
      <c r="G179" s="18">
        <v>46768</v>
      </c>
      <c r="H179" s="38">
        <f>(Table3[[#This Row],[New_Followers]]-Table3[[#This Row],[Unfollows]])/Table3[[#This Row],[Total_Followers]]</f>
        <v>4.2148281775461569E-3</v>
      </c>
    </row>
    <row r="180" spans="1:8" ht="15" customHeight="1" thickBot="1" x14ac:dyDescent="0.35">
      <c r="A180" s="2">
        <v>45754</v>
      </c>
      <c r="B180" s="1" t="s">
        <v>13</v>
      </c>
      <c r="C180" s="3">
        <v>9714</v>
      </c>
      <c r="D180" s="3">
        <v>1395</v>
      </c>
      <c r="E180" s="3">
        <v>1085943</v>
      </c>
      <c r="F180" s="17">
        <v>5.2243073530000004</v>
      </c>
      <c r="G180" s="18">
        <v>40682</v>
      </c>
      <c r="H180" s="38">
        <f>(Table3[[#This Row],[New_Followers]]-Table3[[#This Row],[Unfollows]])/Table3[[#This Row],[Total_Followers]]</f>
        <v>7.6606230713766746E-3</v>
      </c>
    </row>
    <row r="181" spans="1:8" ht="15" customHeight="1" thickBot="1" x14ac:dyDescent="0.35">
      <c r="A181" s="2">
        <v>45754</v>
      </c>
      <c r="B181" s="1" t="s">
        <v>22</v>
      </c>
      <c r="C181" s="3">
        <v>1521</v>
      </c>
      <c r="D181" s="3">
        <v>96</v>
      </c>
      <c r="E181" s="3">
        <v>1087368</v>
      </c>
      <c r="F181" s="17">
        <v>12.70977259</v>
      </c>
      <c r="G181" s="18">
        <v>42262</v>
      </c>
      <c r="H181" s="38">
        <f>(Table3[[#This Row],[New_Followers]]-Table3[[#This Row],[Unfollows]])/Table3[[#This Row],[Total_Followers]]</f>
        <v>1.3105038956452645E-3</v>
      </c>
    </row>
    <row r="182" spans="1:8" ht="15" customHeight="1" thickBot="1" x14ac:dyDescent="0.35">
      <c r="A182" s="2">
        <v>45761</v>
      </c>
      <c r="B182" s="1" t="s">
        <v>1</v>
      </c>
      <c r="C182" s="3">
        <v>8569</v>
      </c>
      <c r="D182" s="3">
        <v>720</v>
      </c>
      <c r="E182" s="3">
        <v>1095217</v>
      </c>
      <c r="F182" s="17">
        <v>9.5896977490000008</v>
      </c>
      <c r="G182" s="18">
        <v>41358</v>
      </c>
      <c r="H182" s="38">
        <f>(Table3[[#This Row],[New_Followers]]-Table3[[#This Row],[Unfollows]])/Table3[[#This Row],[Total_Followers]]</f>
        <v>7.1666162961312686E-3</v>
      </c>
    </row>
    <row r="183" spans="1:8" ht="15" customHeight="1" thickBot="1" x14ac:dyDescent="0.35">
      <c r="A183" s="2">
        <v>45761</v>
      </c>
      <c r="B183" s="1" t="s">
        <v>1</v>
      </c>
      <c r="C183" s="3">
        <v>6784</v>
      </c>
      <c r="D183" s="3">
        <v>416</v>
      </c>
      <c r="E183" s="3">
        <v>1101585</v>
      </c>
      <c r="F183" s="17">
        <v>9.3041390360000005</v>
      </c>
      <c r="G183" s="18">
        <v>24289</v>
      </c>
      <c r="H183" s="38">
        <f>(Table3[[#This Row],[New_Followers]]-Table3[[#This Row],[Unfollows]])/Table3[[#This Row],[Total_Followers]]</f>
        <v>5.7807613574985131E-3</v>
      </c>
    </row>
    <row r="184" spans="1:8" ht="15" customHeight="1" thickBot="1" x14ac:dyDescent="0.35">
      <c r="A184" s="2">
        <v>45761</v>
      </c>
      <c r="B184" s="1" t="s">
        <v>1</v>
      </c>
      <c r="C184" s="3">
        <v>5583</v>
      </c>
      <c r="D184" s="3">
        <v>795</v>
      </c>
      <c r="E184" s="3">
        <v>1106373</v>
      </c>
      <c r="F184" s="17">
        <v>12.215500560000001</v>
      </c>
      <c r="G184" s="18">
        <v>59823</v>
      </c>
      <c r="H184" s="38">
        <f>(Table3[[#This Row],[New_Followers]]-Table3[[#This Row],[Unfollows]])/Table3[[#This Row],[Total_Followers]]</f>
        <v>4.327654416729259E-3</v>
      </c>
    </row>
    <row r="185" spans="1:8" ht="15" customHeight="1" thickBot="1" x14ac:dyDescent="0.35">
      <c r="A185" s="2">
        <v>45761</v>
      </c>
      <c r="B185" s="1" t="s">
        <v>1</v>
      </c>
      <c r="C185" s="3">
        <v>6946</v>
      </c>
      <c r="D185" s="3">
        <v>956</v>
      </c>
      <c r="E185" s="3">
        <v>1112363</v>
      </c>
      <c r="F185" s="17">
        <v>1.6414605659999999</v>
      </c>
      <c r="G185" s="18">
        <v>17927</v>
      </c>
      <c r="H185" s="38">
        <f>(Table3[[#This Row],[New_Followers]]-Table3[[#This Row],[Unfollows]])/Table3[[#This Row],[Total_Followers]]</f>
        <v>5.3849327962185002E-3</v>
      </c>
    </row>
    <row r="186" spans="1:8" ht="15" customHeight="1" thickBot="1" x14ac:dyDescent="0.35">
      <c r="A186" s="2">
        <v>45768</v>
      </c>
      <c r="B186" s="1" t="s">
        <v>22</v>
      </c>
      <c r="C186" s="3">
        <v>5941</v>
      </c>
      <c r="D186" s="3">
        <v>450</v>
      </c>
      <c r="E186" s="3">
        <v>1117854</v>
      </c>
      <c r="F186" s="17">
        <v>12.414411899999999</v>
      </c>
      <c r="G186" s="18">
        <v>58330</v>
      </c>
      <c r="H186" s="38">
        <f>(Table3[[#This Row],[New_Followers]]-Table3[[#This Row],[Unfollows]])/Table3[[#This Row],[Total_Followers]]</f>
        <v>4.9120904876665469E-3</v>
      </c>
    </row>
    <row r="187" spans="1:8" ht="15" customHeight="1" thickBot="1" x14ac:dyDescent="0.35">
      <c r="A187" s="2">
        <v>45768</v>
      </c>
      <c r="B187" s="1" t="s">
        <v>22</v>
      </c>
      <c r="C187" s="3">
        <v>7267</v>
      </c>
      <c r="D187" s="3">
        <v>842</v>
      </c>
      <c r="E187" s="3">
        <v>1124279</v>
      </c>
      <c r="F187" s="17">
        <v>2.2102165029999998</v>
      </c>
      <c r="G187" s="18">
        <v>11171</v>
      </c>
      <c r="H187" s="38">
        <f>(Table3[[#This Row],[New_Followers]]-Table3[[#This Row],[Unfollows]])/Table3[[#This Row],[Total_Followers]]</f>
        <v>5.7147736460433753E-3</v>
      </c>
    </row>
    <row r="188" spans="1:8" ht="15" customHeight="1" thickBot="1" x14ac:dyDescent="0.35">
      <c r="A188" s="2">
        <v>45768</v>
      </c>
      <c r="B188" s="1" t="s">
        <v>13</v>
      </c>
      <c r="C188" s="3">
        <v>8128</v>
      </c>
      <c r="D188" s="3">
        <v>1070</v>
      </c>
      <c r="E188" s="3">
        <v>1131337</v>
      </c>
      <c r="F188" s="17">
        <v>8.1114645769999996</v>
      </c>
      <c r="G188" s="18">
        <v>21918</v>
      </c>
      <c r="H188" s="38">
        <f>(Table3[[#This Row],[New_Followers]]-Table3[[#This Row],[Unfollows]])/Table3[[#This Row],[Total_Followers]]</f>
        <v>6.2386362330587612E-3</v>
      </c>
    </row>
    <row r="189" spans="1:8" ht="15" customHeight="1" thickBot="1" x14ac:dyDescent="0.35">
      <c r="A189" s="2">
        <v>45768</v>
      </c>
      <c r="B189" s="1" t="s">
        <v>22</v>
      </c>
      <c r="C189" s="3">
        <v>3461</v>
      </c>
      <c r="D189" s="3">
        <v>365</v>
      </c>
      <c r="E189" s="3">
        <v>1134433</v>
      </c>
      <c r="F189" s="17">
        <v>10.234892670000001</v>
      </c>
      <c r="G189" s="18">
        <v>51903</v>
      </c>
      <c r="H189" s="38">
        <f>(Table3[[#This Row],[New_Followers]]-Table3[[#This Row],[Unfollows]])/Table3[[#This Row],[Total_Followers]]</f>
        <v>2.7291166600407427E-3</v>
      </c>
    </row>
    <row r="190" spans="1:8" ht="15" customHeight="1" thickBot="1" x14ac:dyDescent="0.35">
      <c r="A190" s="2">
        <v>45775</v>
      </c>
      <c r="B190" s="1" t="s">
        <v>1</v>
      </c>
      <c r="C190" s="3">
        <v>1685</v>
      </c>
      <c r="D190" s="3">
        <v>173</v>
      </c>
      <c r="E190" s="3">
        <v>1135945</v>
      </c>
      <c r="F190" s="17">
        <v>8.7776256769999996</v>
      </c>
      <c r="G190" s="18">
        <v>49110</v>
      </c>
      <c r="H190" s="38">
        <f>(Table3[[#This Row],[New_Followers]]-Table3[[#This Row],[Unfollows]])/Table3[[#This Row],[Total_Followers]]</f>
        <v>1.331050358952238E-3</v>
      </c>
    </row>
    <row r="191" spans="1:8" ht="15" customHeight="1" thickBot="1" x14ac:dyDescent="0.35">
      <c r="A191" s="2">
        <v>45775</v>
      </c>
      <c r="B191" s="1" t="s">
        <v>13</v>
      </c>
      <c r="C191" s="3">
        <v>3160</v>
      </c>
      <c r="D191" s="3">
        <v>234</v>
      </c>
      <c r="E191" s="3">
        <v>1138871</v>
      </c>
      <c r="F191" s="17">
        <v>5.6959041020000001</v>
      </c>
      <c r="G191" s="18">
        <v>21929</v>
      </c>
      <c r="H191" s="38">
        <f>(Table3[[#This Row],[New_Followers]]-Table3[[#This Row],[Unfollows]])/Table3[[#This Row],[Total_Followers]]</f>
        <v>2.5692110871204906E-3</v>
      </c>
    </row>
    <row r="192" spans="1:8" ht="15" customHeight="1" thickBot="1" x14ac:dyDescent="0.35">
      <c r="A192" s="2">
        <v>45775</v>
      </c>
      <c r="B192" s="1" t="s">
        <v>13</v>
      </c>
      <c r="C192" s="3">
        <v>8031</v>
      </c>
      <c r="D192" s="3">
        <v>476</v>
      </c>
      <c r="E192" s="3">
        <v>1146426</v>
      </c>
      <c r="F192" s="17">
        <v>11.940413080000001</v>
      </c>
      <c r="G192" s="18">
        <v>12539</v>
      </c>
      <c r="H192" s="38">
        <f>(Table3[[#This Row],[New_Followers]]-Table3[[#This Row],[Unfollows]])/Table3[[#This Row],[Total_Followers]]</f>
        <v>6.5900459340594159E-3</v>
      </c>
    </row>
    <row r="193" spans="1:8" ht="15" customHeight="1" thickBot="1" x14ac:dyDescent="0.35">
      <c r="A193" s="2">
        <v>45775</v>
      </c>
      <c r="B193" s="1" t="s">
        <v>13</v>
      </c>
      <c r="C193" s="3">
        <v>6341</v>
      </c>
      <c r="D193" s="3">
        <v>885</v>
      </c>
      <c r="E193" s="3">
        <v>1151882</v>
      </c>
      <c r="F193" s="17">
        <v>6.3457020770000003</v>
      </c>
      <c r="G193" s="18">
        <v>46727</v>
      </c>
      <c r="H193" s="38">
        <f>(Table3[[#This Row],[New_Followers]]-Table3[[#This Row],[Unfollows]])/Table3[[#This Row],[Total_Followers]]</f>
        <v>4.7365962832998515E-3</v>
      </c>
    </row>
    <row r="194" spans="1:8" ht="15" customHeight="1" thickBot="1" x14ac:dyDescent="0.35">
      <c r="A194" s="2">
        <v>45782</v>
      </c>
      <c r="B194" s="1" t="s">
        <v>1</v>
      </c>
      <c r="C194" s="3">
        <v>1038</v>
      </c>
      <c r="D194" s="3">
        <v>145</v>
      </c>
      <c r="E194" s="3">
        <v>1152775</v>
      </c>
      <c r="F194" s="17">
        <v>11.093752029999999</v>
      </c>
      <c r="G194" s="18">
        <v>55951</v>
      </c>
      <c r="H194" s="38">
        <f>(Table3[[#This Row],[New_Followers]]-Table3[[#This Row],[Unfollows]])/Table3[[#This Row],[Total_Followers]]</f>
        <v>7.7465246904209403E-4</v>
      </c>
    </row>
    <row r="195" spans="1:8" ht="15" customHeight="1" thickBot="1" x14ac:dyDescent="0.35">
      <c r="A195" s="2">
        <v>45782</v>
      </c>
      <c r="B195" s="1" t="s">
        <v>6</v>
      </c>
      <c r="C195" s="3">
        <v>5875</v>
      </c>
      <c r="D195" s="3">
        <v>665</v>
      </c>
      <c r="E195" s="3">
        <v>1157985</v>
      </c>
      <c r="F195" s="17">
        <v>6.9871371389999997</v>
      </c>
      <c r="G195" s="18">
        <v>32669</v>
      </c>
      <c r="H195" s="38">
        <f>(Table3[[#This Row],[New_Followers]]-Table3[[#This Row],[Unfollows]])/Table3[[#This Row],[Total_Followers]]</f>
        <v>4.4991947218659999E-3</v>
      </c>
    </row>
    <row r="196" spans="1:8" ht="15" customHeight="1" thickBot="1" x14ac:dyDescent="0.35">
      <c r="A196" s="2">
        <v>45782</v>
      </c>
      <c r="B196" s="1" t="s">
        <v>1</v>
      </c>
      <c r="C196" s="3">
        <v>2256</v>
      </c>
      <c r="D196" s="3">
        <v>189</v>
      </c>
      <c r="E196" s="3">
        <v>1160052</v>
      </c>
      <c r="F196" s="17">
        <v>2.8935771840000002</v>
      </c>
      <c r="G196" s="18">
        <v>15432</v>
      </c>
      <c r="H196" s="38">
        <f>(Table3[[#This Row],[New_Followers]]-Table3[[#This Row],[Unfollows]])/Table3[[#This Row],[Total_Followers]]</f>
        <v>1.7818166771834366E-3</v>
      </c>
    </row>
    <row r="197" spans="1:8" ht="15" customHeight="1" thickBot="1" x14ac:dyDescent="0.35">
      <c r="A197" s="2">
        <v>45782</v>
      </c>
      <c r="B197" s="1" t="s">
        <v>22</v>
      </c>
      <c r="C197" s="3">
        <v>8697</v>
      </c>
      <c r="D197" s="3">
        <v>738</v>
      </c>
      <c r="E197" s="3">
        <v>1168011</v>
      </c>
      <c r="F197" s="17">
        <v>3.8777032070000002</v>
      </c>
      <c r="G197" s="18">
        <v>30644</v>
      </c>
      <c r="H197" s="38">
        <f>(Table3[[#This Row],[New_Followers]]-Table3[[#This Row],[Unfollows]])/Table3[[#This Row],[Total_Followers]]</f>
        <v>6.8141481544266276E-3</v>
      </c>
    </row>
    <row r="198" spans="1:8" ht="15" customHeight="1" thickBot="1" x14ac:dyDescent="0.35">
      <c r="A198" s="2">
        <v>45789</v>
      </c>
      <c r="B198" s="1" t="s">
        <v>22</v>
      </c>
      <c r="C198" s="3">
        <v>3196</v>
      </c>
      <c r="D198" s="3">
        <v>391</v>
      </c>
      <c r="E198" s="3">
        <v>1170816</v>
      </c>
      <c r="F198" s="17">
        <v>7.243922188</v>
      </c>
      <c r="G198" s="18">
        <v>28745</v>
      </c>
      <c r="H198" s="38">
        <f>(Table3[[#This Row],[New_Followers]]-Table3[[#This Row],[Unfollows]])/Table3[[#This Row],[Total_Followers]]</f>
        <v>2.3957650049196456E-3</v>
      </c>
    </row>
    <row r="199" spans="1:8" ht="15" customHeight="1" thickBot="1" x14ac:dyDescent="0.35">
      <c r="A199" s="2">
        <v>45789</v>
      </c>
      <c r="B199" s="1" t="s">
        <v>1</v>
      </c>
      <c r="C199" s="3">
        <v>8165</v>
      </c>
      <c r="D199" s="3">
        <v>1140</v>
      </c>
      <c r="E199" s="3">
        <v>1177841</v>
      </c>
      <c r="F199" s="17">
        <v>9.0959645659999993</v>
      </c>
      <c r="G199" s="18">
        <v>38228</v>
      </c>
      <c r="H199" s="38">
        <f>(Table3[[#This Row],[New_Followers]]-Table3[[#This Row],[Unfollows]])/Table3[[#This Row],[Total_Followers]]</f>
        <v>5.9643024822535473E-3</v>
      </c>
    </row>
    <row r="200" spans="1:8" ht="15" customHeight="1" thickBot="1" x14ac:dyDescent="0.35">
      <c r="A200" s="2">
        <v>45789</v>
      </c>
      <c r="B200" s="1" t="s">
        <v>1</v>
      </c>
      <c r="C200" s="3">
        <v>1301</v>
      </c>
      <c r="D200" s="3">
        <v>180</v>
      </c>
      <c r="E200" s="3">
        <v>1178962</v>
      </c>
      <c r="F200" s="17">
        <v>5.2275645859999997</v>
      </c>
      <c r="G200" s="18">
        <v>44521</v>
      </c>
      <c r="H200" s="38">
        <f>(Table3[[#This Row],[New_Followers]]-Table3[[#This Row],[Unfollows]])/Table3[[#This Row],[Total_Followers]]</f>
        <v>9.5083641372665107E-4</v>
      </c>
    </row>
    <row r="201" spans="1:8" ht="15" customHeight="1" thickBot="1" x14ac:dyDescent="0.35">
      <c r="A201" s="7">
        <v>45789</v>
      </c>
      <c r="B201" s="6" t="s">
        <v>13</v>
      </c>
      <c r="C201" s="8">
        <v>8527</v>
      </c>
      <c r="D201" s="8">
        <v>1091</v>
      </c>
      <c r="E201" s="8">
        <v>1186398</v>
      </c>
      <c r="F201" s="19">
        <v>1.67608172</v>
      </c>
      <c r="G201" s="20">
        <v>41703</v>
      </c>
      <c r="H201" s="38">
        <f>(Table3[[#This Row],[New_Followers]]-Table3[[#This Row],[Unfollows]])/Table3[[#This Row],[Total_Followers]]</f>
        <v>6.267711172810473E-3</v>
      </c>
    </row>
    <row r="202" spans="1:8" ht="15" thickBot="1" x14ac:dyDescent="0.35">
      <c r="A202" s="2"/>
      <c r="B202" s="1"/>
      <c r="C202" s="3"/>
      <c r="D202" s="3"/>
      <c r="E202" s="3"/>
      <c r="F202" s="17"/>
      <c r="G202" s="18"/>
      <c r="H202" s="37"/>
    </row>
    <row r="203" spans="1:8" ht="15" thickBot="1" x14ac:dyDescent="0.35">
      <c r="A203" s="2"/>
      <c r="B203" s="1"/>
      <c r="C203" s="3"/>
      <c r="D203" s="3"/>
      <c r="E203" s="3"/>
      <c r="F203" s="17"/>
      <c r="G203" s="18"/>
      <c r="H203" s="3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0AD8-3C47-46F0-9C47-124E44B591DE}">
  <dimension ref="A1:G6"/>
  <sheetViews>
    <sheetView workbookViewId="0">
      <selection sqref="A1:XFD1048576"/>
    </sheetView>
  </sheetViews>
  <sheetFormatPr defaultColWidth="28.33203125" defaultRowHeight="16.2" customHeight="1" x14ac:dyDescent="0.3"/>
  <cols>
    <col min="5" max="5" width="28.33203125" style="22"/>
    <col min="6" max="6" width="28.33203125" style="13"/>
    <col min="7" max="7" width="28.33203125" style="21"/>
  </cols>
  <sheetData>
    <row r="1" spans="1:7" ht="16.2" customHeight="1" thickBot="1" x14ac:dyDescent="0.35">
      <c r="A1" s="9" t="s">
        <v>344</v>
      </c>
      <c r="B1" s="10" t="s">
        <v>345</v>
      </c>
      <c r="C1" s="10" t="s">
        <v>346</v>
      </c>
      <c r="D1" s="10" t="s">
        <v>347</v>
      </c>
      <c r="E1" s="23" t="s">
        <v>343</v>
      </c>
      <c r="F1" s="11" t="s">
        <v>332</v>
      </c>
      <c r="G1" s="24" t="s">
        <v>348</v>
      </c>
    </row>
    <row r="2" spans="1:7" ht="16.2" customHeight="1" thickBot="1" x14ac:dyDescent="0.35">
      <c r="A2" s="1" t="s">
        <v>9</v>
      </c>
      <c r="B2" s="2">
        <v>45458</v>
      </c>
      <c r="C2" s="2">
        <v>45488</v>
      </c>
      <c r="D2" s="1" t="s">
        <v>349</v>
      </c>
      <c r="E2" s="25">
        <v>85000</v>
      </c>
      <c r="F2" s="3">
        <v>950000</v>
      </c>
      <c r="G2" s="26">
        <v>0.45</v>
      </c>
    </row>
    <row r="3" spans="1:7" ht="16.2" customHeight="1" thickBot="1" x14ac:dyDescent="0.35">
      <c r="A3" s="1" t="s">
        <v>18</v>
      </c>
      <c r="B3" s="2">
        <v>45566</v>
      </c>
      <c r="C3" s="2">
        <v>45596</v>
      </c>
      <c r="D3" s="1" t="s">
        <v>350</v>
      </c>
      <c r="E3" s="25">
        <v>60000</v>
      </c>
      <c r="F3" s="3">
        <v>780000</v>
      </c>
      <c r="G3" s="26">
        <v>0.38</v>
      </c>
    </row>
    <row r="4" spans="1:7" ht="16.2" customHeight="1" thickBot="1" x14ac:dyDescent="0.35">
      <c r="A4" s="1" t="s">
        <v>4</v>
      </c>
      <c r="B4" s="2">
        <v>45651</v>
      </c>
      <c r="C4" s="2">
        <v>45667</v>
      </c>
      <c r="D4" s="1" t="s">
        <v>351</v>
      </c>
      <c r="E4" s="25">
        <v>55000</v>
      </c>
      <c r="F4" s="3">
        <v>700000</v>
      </c>
      <c r="G4" s="26">
        <v>0.41</v>
      </c>
    </row>
    <row r="5" spans="1:7" ht="16.2" customHeight="1" thickBot="1" x14ac:dyDescent="0.35">
      <c r="A5" s="1" t="s">
        <v>20</v>
      </c>
      <c r="B5" s="2">
        <v>45717</v>
      </c>
      <c r="C5" s="2">
        <v>45747</v>
      </c>
      <c r="D5" s="1" t="s">
        <v>352</v>
      </c>
      <c r="E5" s="25">
        <v>40000</v>
      </c>
      <c r="F5" s="3">
        <v>550000</v>
      </c>
      <c r="G5" s="26">
        <v>0.32</v>
      </c>
    </row>
    <row r="6" spans="1:7" ht="16.2" customHeight="1" x14ac:dyDescent="0.3">
      <c r="A6" s="6" t="s">
        <v>26</v>
      </c>
      <c r="B6" s="12">
        <v>45901</v>
      </c>
      <c r="C6" s="12">
        <v>45930</v>
      </c>
      <c r="D6" s="6" t="s">
        <v>353</v>
      </c>
      <c r="E6" s="27">
        <v>75000</v>
      </c>
      <c r="F6" s="8">
        <v>880000</v>
      </c>
      <c r="G6" s="28">
        <v>0.47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FE73D-2C46-4A3D-B4D7-C76C7A260053}">
  <dimension ref="A3:H13"/>
  <sheetViews>
    <sheetView workbookViewId="0">
      <selection activeCell="H6" sqref="H6:H13"/>
    </sheetView>
  </sheetViews>
  <sheetFormatPr defaultRowHeight="14.4" x14ac:dyDescent="0.3"/>
  <cols>
    <col min="1" max="1" width="25.77734375" bestFit="1" customWidth="1"/>
    <col min="2" max="2" width="15.5546875" bestFit="1" customWidth="1"/>
    <col min="3" max="3" width="12" customWidth="1"/>
    <col min="4" max="4" width="13.33203125" customWidth="1"/>
    <col min="5" max="5" width="11.109375" customWidth="1"/>
    <col min="6" max="6" width="10.77734375" bestFit="1" customWidth="1"/>
    <col min="7" max="7" width="12" bestFit="1" customWidth="1"/>
    <col min="8" max="8" width="62.33203125" customWidth="1"/>
  </cols>
  <sheetData>
    <row r="3" spans="1:8" x14ac:dyDescent="0.3">
      <c r="A3" s="30" t="s">
        <v>357</v>
      </c>
      <c r="B3" s="30" t="s">
        <v>354</v>
      </c>
    </row>
    <row r="4" spans="1:8" x14ac:dyDescent="0.3">
      <c r="A4" s="30" t="s">
        <v>356</v>
      </c>
      <c r="B4" s="32" t="s">
        <v>13</v>
      </c>
      <c r="C4" s="33" t="s">
        <v>1</v>
      </c>
      <c r="D4" s="34" t="s">
        <v>22</v>
      </c>
      <c r="E4" s="35" t="s">
        <v>6</v>
      </c>
      <c r="F4" t="s">
        <v>355</v>
      </c>
    </row>
    <row r="5" spans="1:8" x14ac:dyDescent="0.3">
      <c r="A5" s="29" t="s">
        <v>17</v>
      </c>
      <c r="B5" s="43">
        <v>0.14091680204500323</v>
      </c>
      <c r="C5" s="44">
        <v>0.10838774896938705</v>
      </c>
      <c r="D5" s="45">
        <v>0.12626867837762665</v>
      </c>
      <c r="E5" s="46">
        <v>0.11103450031278511</v>
      </c>
      <c r="F5" s="21">
        <v>0.12254707352578754</v>
      </c>
    </row>
    <row r="6" spans="1:8" x14ac:dyDescent="0.3">
      <c r="A6" s="29" t="s">
        <v>14</v>
      </c>
      <c r="B6" s="43">
        <v>0.17975388136910844</v>
      </c>
      <c r="C6" s="44">
        <v>0.12096820070529853</v>
      </c>
      <c r="D6" s="45">
        <v>9.2172752818428502E-2</v>
      </c>
      <c r="E6" s="46">
        <v>9.9139643510424619E-2</v>
      </c>
      <c r="F6" s="21">
        <v>0.11546428615108938</v>
      </c>
      <c r="H6" s="47" t="s">
        <v>359</v>
      </c>
    </row>
    <row r="7" spans="1:8" x14ac:dyDescent="0.3">
      <c r="A7" s="29" t="s">
        <v>7</v>
      </c>
      <c r="B7" s="43">
        <v>0.11713180549394095</v>
      </c>
      <c r="C7" s="44">
        <v>0.11345902566977946</v>
      </c>
      <c r="D7" s="45">
        <v>0.11659260556854054</v>
      </c>
      <c r="E7" s="46">
        <v>0.10728025526664826</v>
      </c>
      <c r="F7" s="21">
        <v>0.11357604941562141</v>
      </c>
      <c r="H7" s="47" t="s">
        <v>360</v>
      </c>
    </row>
    <row r="8" spans="1:8" x14ac:dyDescent="0.3">
      <c r="A8" s="29" t="s">
        <v>2</v>
      </c>
      <c r="B8" s="43">
        <v>0.13691273815057553</v>
      </c>
      <c r="C8" s="44">
        <v>0.15713453663338478</v>
      </c>
      <c r="D8" s="45">
        <v>0.13793089888284416</v>
      </c>
      <c r="E8" s="46">
        <v>0.12680050433792736</v>
      </c>
      <c r="F8" s="21">
        <v>0.13929223385583644</v>
      </c>
      <c r="H8" s="47"/>
    </row>
    <row r="9" spans="1:8" x14ac:dyDescent="0.3">
      <c r="A9" s="29" t="s">
        <v>355</v>
      </c>
      <c r="B9" s="43">
        <v>0.13887772583296518</v>
      </c>
      <c r="C9" s="44">
        <v>0.12413746843755111</v>
      </c>
      <c r="D9" s="45">
        <v>0.11777135601638944</v>
      </c>
      <c r="E9" s="46">
        <v>0.1121882803999053</v>
      </c>
      <c r="F9" s="21">
        <v>0.12284132745362931</v>
      </c>
      <c r="H9" s="47"/>
    </row>
    <row r="10" spans="1:8" x14ac:dyDescent="0.3">
      <c r="H10" s="47" t="s">
        <v>368</v>
      </c>
    </row>
    <row r="11" spans="1:8" x14ac:dyDescent="0.3">
      <c r="H11" s="47" t="s">
        <v>369</v>
      </c>
    </row>
    <row r="12" spans="1:8" x14ac:dyDescent="0.3">
      <c r="H12" s="47"/>
    </row>
    <row r="13" spans="1:8" x14ac:dyDescent="0.3">
      <c r="H13" s="47" t="s">
        <v>370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53555-69B9-49FD-B5EC-65A150B2862C}">
  <dimension ref="A3:E7"/>
  <sheetViews>
    <sheetView workbookViewId="0">
      <selection activeCell="E5" sqref="E4:E5"/>
    </sheetView>
  </sheetViews>
  <sheetFormatPr defaultRowHeight="14.4" x14ac:dyDescent="0.3"/>
  <cols>
    <col min="1" max="1" width="12.5546875" bestFit="1" customWidth="1"/>
    <col min="2" max="2" width="31" bestFit="1" customWidth="1"/>
    <col min="5" max="5" width="40.109375" customWidth="1"/>
  </cols>
  <sheetData>
    <row r="3" spans="1:5" x14ac:dyDescent="0.3">
      <c r="A3" s="30" t="s">
        <v>356</v>
      </c>
      <c r="B3" t="s">
        <v>362</v>
      </c>
    </row>
    <row r="4" spans="1:5" x14ac:dyDescent="0.3">
      <c r="A4" s="29" t="s">
        <v>6</v>
      </c>
      <c r="B4" s="31">
        <v>1.4194033565547487E-2</v>
      </c>
      <c r="E4" s="14" t="s">
        <v>363</v>
      </c>
    </row>
    <row r="5" spans="1:5" x14ac:dyDescent="0.3">
      <c r="A5" s="29" t="s">
        <v>13</v>
      </c>
      <c r="B5" s="31">
        <v>1.3764361711969262E-2</v>
      </c>
      <c r="E5" s="14" t="s">
        <v>364</v>
      </c>
    </row>
    <row r="6" spans="1:5" x14ac:dyDescent="0.3">
      <c r="A6" s="29" t="s">
        <v>22</v>
      </c>
      <c r="B6" s="31">
        <v>1.2030686217981618E-2</v>
      </c>
    </row>
    <row r="7" spans="1:5" x14ac:dyDescent="0.3">
      <c r="A7" s="29" t="s">
        <v>1</v>
      </c>
      <c r="B7" s="31">
        <v>9.4286447506565681E-3</v>
      </c>
    </row>
  </sheetData>
  <conditionalFormatting pivot="1" sqref="B4:B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11B4C-4AB7-45D7-9DCC-69997918E90C}">
  <dimension ref="A3:F8"/>
  <sheetViews>
    <sheetView workbookViewId="0">
      <selection activeCell="F19" sqref="F19"/>
    </sheetView>
  </sheetViews>
  <sheetFormatPr defaultRowHeight="14.4" x14ac:dyDescent="0.3"/>
  <cols>
    <col min="1" max="1" width="12.5546875" bestFit="1" customWidth="1"/>
    <col min="2" max="2" width="26.33203125" bestFit="1" customWidth="1"/>
    <col min="3" max="3" width="19.44140625" bestFit="1" customWidth="1"/>
    <col min="6" max="6" width="58.33203125" customWidth="1"/>
  </cols>
  <sheetData>
    <row r="3" spans="1:6" x14ac:dyDescent="0.3">
      <c r="A3" s="30" t="s">
        <v>356</v>
      </c>
      <c r="B3" t="s">
        <v>358</v>
      </c>
      <c r="C3" t="s">
        <v>365</v>
      </c>
    </row>
    <row r="4" spans="1:6" x14ac:dyDescent="0.3">
      <c r="A4" s="29" t="s">
        <v>1</v>
      </c>
      <c r="B4" s="21">
        <v>14.067998324418173</v>
      </c>
      <c r="C4" s="21">
        <v>36191.327272727271</v>
      </c>
    </row>
    <row r="5" spans="1:6" x14ac:dyDescent="0.3">
      <c r="A5" s="29" t="s">
        <v>13</v>
      </c>
      <c r="B5" s="21">
        <v>17.480513119018866</v>
      </c>
      <c r="C5" s="21">
        <v>35360.056603773584</v>
      </c>
      <c r="F5" s="39" t="s">
        <v>367</v>
      </c>
    </row>
    <row r="6" spans="1:6" x14ac:dyDescent="0.3">
      <c r="A6" s="29" t="s">
        <v>22</v>
      </c>
      <c r="B6" s="21">
        <v>15.559291799137254</v>
      </c>
      <c r="C6" s="21">
        <v>34821.23529411765</v>
      </c>
      <c r="F6" s="39" t="s">
        <v>366</v>
      </c>
    </row>
    <row r="7" spans="1:6" x14ac:dyDescent="0.3">
      <c r="A7" s="29" t="s">
        <v>6</v>
      </c>
      <c r="B7" s="21">
        <v>17.59926291431707</v>
      </c>
      <c r="C7" s="21">
        <v>31374.90243902439</v>
      </c>
    </row>
    <row r="8" spans="1:6" x14ac:dyDescent="0.3">
      <c r="A8" s="29" t="s">
        <v>355</v>
      </c>
      <c r="B8" s="21">
        <v>16.07650382197</v>
      </c>
      <c r="C8" s="21">
        <v>34634.300000000003</v>
      </c>
    </row>
  </sheetData>
  <conditionalFormatting pivot="1" sqref="C4:C7">
    <cfRule type="colorScale" priority="2">
      <colorScale>
        <cfvo type="min"/>
        <cfvo type="max"/>
        <color rgb="FFFFEF9C"/>
        <color rgb="FF63BE7B"/>
      </colorScale>
    </cfRule>
  </conditionalFormatting>
  <conditionalFormatting pivot="1" sqref="B4:B7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Task 3</vt:lpstr>
      <vt:lpstr>Posts</vt:lpstr>
      <vt:lpstr>Engagement Summary</vt:lpstr>
      <vt:lpstr>Campaign metadata</vt:lpstr>
      <vt:lpstr>Platformwise engagement rate</vt:lpstr>
      <vt:lpstr>Platformwise Followers growth </vt:lpstr>
      <vt:lpstr>Ad Spend vs Engagement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Suhani Bhardwaj</dc:creator>
  <cp:lastModifiedBy>Suhani Bhardwaj</cp:lastModifiedBy>
  <dcterms:created xsi:type="dcterms:W3CDTF">2026-04-07T09:31:18Z</dcterms:created>
  <dcterms:modified xsi:type="dcterms:W3CDTF">2026-04-08T10:13:10Z</dcterms:modified>
</cp:coreProperties>
</file>